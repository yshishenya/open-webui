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7b29468b3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Analysis" sheetId="1" r:id="R06702cd24f0d4e8d"/>
    <x:sheet xmlns:r="http://schemas.openxmlformats.org/officeDocument/2006/relationships" name="Provider Summary" sheetId="2" r:id="R924ef16061ae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"/>
    <x:numFmt numFmtId="165" formatCode="0.0%"/>
  </x:numFmts>
  <x:fonts count="4">
    <x:font>
      <x:sz val="11"/>
      <x:color theme="1"/>
      <x:name val="Calibri"/>
      <x:family val="2"/>
      <x:scheme val="minor"/>
    </x:font>
    <x:font>
      <x:b/>
    </x:font>
    <x:font>
      <x:color rgb="000000FF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Alignment="1">
      <x:alignment horizontal="left"/>
    </x:xf>
    <x:xf numFmtId="2" fontId="2" fillId="0" borderId="0" xfId="0" applyAlignment="1">
      <x:alignment horizontal="right"/>
    </x:xf>
    <x:xf numFmtId="0" fontId="3" fillId="2" borderId="0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164" fontId="0" fillId="0" borderId="1" xfId="0" applyAlignment="1">
      <x:alignment horizontal="right"/>
    </x:xf>
    <x:xf numFmtId="2" fontId="0" fillId="0" borderId="1" xfId="0" applyAlignment="1">
      <x:alignment horizontal="right"/>
    </x:xf>
    <x:xf numFmtId="165" fontId="0" fillId="0" borderId="1" xfId="0" applyAlignment="1">
      <x:alignment horizontal="right"/>
    </x:xf>
    <x:xf numFmtId="0" fontId="3" fillId="2" borderId="0" xfId="0" applyAlignment="1">
      <x:alignment horizontal="center" vertical="center"/>
    </x:xf>
    <x:xf numFmtId="0" fontId="0" fillId="0" borderId="1" xfId="0" applyAlignment="1">
      <x:alignment horizontal="left"/>
    </x:xf>
    <x:xf numFmtId="1" fontId="0" fillId="0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ea5ebbfd84526" /><Relationship Type="http://schemas.openxmlformats.org/officeDocument/2006/relationships/theme" Target="/xl/theme/theme1.xml" Id="Raf4190eca5d7450b" /><Relationship Type="http://schemas.openxmlformats.org/officeDocument/2006/relationships/sharedStrings" Target="/xl/sharedStrings.xml" Id="R2896d367440a438f" /><Relationship Type="http://schemas.openxmlformats.org/officeDocument/2006/relationships/worksheet" Target="/xl/worksheets/sheet1.xml" Id="R06702cd24f0d4e8d" /><Relationship Type="http://schemas.openxmlformats.org/officeDocument/2006/relationships/worksheet" Target="/xl/worksheets/sheet2.xml" Id="R924ef16061ae45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customWidth="1"/>
    <x:col min="2" max="2" width="12" customWidth="1"/>
    <x:col min="3" max="3" width="18" customWidth="1"/>
    <x:col min="4" max="4" width="18" customWidth="1"/>
    <x:col min="5" max="5" width="18" customWidth="1"/>
    <x:col min="6" max="6" width="18" customWidth="1"/>
    <x:col min="7" max="7" width="16" customWidth="1"/>
    <x:col min="8" max="8" width="16" customWidth="1"/>
    <x:col min="9" max="9" width="18" customWidth="1"/>
    <x:col min="10" max="10" width="18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6" customWidth="1"/>
    <x:col min="16" max="16" width="16" customWidth="1"/>
    <x:col min="17" max="17" width="18" customWidth="1"/>
    <x:col min="18" max="18" width="18" customWidth="1"/>
    <x:col min="19" max="19" width="26" customWidth="1"/>
  </x:cols>
  <x:sheetData>
    <x:row r="1">
      <x:c r="A1" s="1" t="inlineStr">
        <x:is>
          <x:t xml:space="preserve">FX (RUB per 1 USD)</x:t>
        </x:is>
      </x:c>
      <x:c r="B1" s="2" t="n">
        <x:v>100</x:v>
      </x:c>
    </x:row>
    <x:row r="2">
      <x:c r="A2" s="1" t="inlineStr">
        <x:is>
          <x:t xml:space="preserve">Recommended multiplier (Input)</x:t>
        </x:is>
      </x:c>
      <x:c r="B2" s="2" t="n">
        <x:v>2.3</x:v>
      </x:c>
    </x:row>
    <x:row r="3">
      <x:c r="A3" s="1" t="inlineStr">
        <x:is>
          <x:t xml:space="preserve">Recommended multiplier (Output)</x:t>
        </x:is>
      </x:c>
      <x:c r="B3" s="2" t="n">
        <x:v>2.5</x:v>
      </x:c>
    </x:row>
    <x:row r="5">
      <x:c r="A5" s="3" t="inlineStr">
        <x:is>
          <x:t xml:space="preserve">Model</x:t>
        </x:is>
      </x:c>
      <x:c r="B5" s="3" t="inlineStr">
        <x:is>
          <x:t xml:space="preserve">Provider</x:t>
        </x:is>
      </x:c>
      <x:c r="C5" s="3" t="inlineStr">
        <x:is>
          <x:t xml:space="preserve">Competitor IN (RUB/1K)</x:t>
        </x:is>
      </x:c>
      <x:c r="D5" s="3" t="inlineStr">
        <x:is>
          <x:t xml:space="preserve">Competitor OUT (RUB/1K)</x:t>
        </x:is>
      </x:c>
      <x:c r="E5" s="3" t="inlineStr">
        <x:is>
          <x:t xml:space="preserve">Competitor IN (USD/1M)</x:t>
        </x:is>
      </x:c>
      <x:c r="F5" s="3" t="inlineStr">
        <x:is>
          <x:t xml:space="preserve">Competitor OUT (USD/1M)</x:t>
        </x:is>
      </x:c>
      <x:c r="G5" s="3" t="inlineStr">
        <x:is>
          <x:t xml:space="preserve">Official IN (USD/1M)</x:t>
        </x:is>
      </x:c>
      <x:c r="H5" s="3" t="inlineStr">
        <x:is>
          <x:t xml:space="preserve">Official OUT (USD/1M)</x:t>
        </x:is>
      </x:c>
      <x:c r="I5" s="3" t="inlineStr">
        <x:is>
          <x:t xml:space="preserve">Official IN (RUB/1K)</x:t>
        </x:is>
      </x:c>
      <x:c r="J5" s="3" t="inlineStr">
        <x:is>
          <x:t xml:space="preserve">Official OUT (RUB/1K)</x:t>
        </x:is>
      </x:c>
      <x:c r="K5" s="3" t="inlineStr">
        <x:is>
          <x:t xml:space="preserve">Coeff IN (x)</x:t>
        </x:is>
      </x:c>
      <x:c r="L5" s="3" t="inlineStr">
        <x:is>
          <x:t xml:space="preserve">Coeff OUT (x)</x:t>
        </x:is>
      </x:c>
      <x:c r="M5" s="3" t="inlineStr">
        <x:is>
          <x:t xml:space="preserve">Markup IN (%)</x:t>
        </x:is>
      </x:c>
      <x:c r="N5" s="3" t="inlineStr">
        <x:is>
          <x:t xml:space="preserve">Markup OUT (%)</x:t>
        </x:is>
      </x:c>
      <x:c r="O5" s="3" t="inlineStr">
        <x:is>
          <x:t xml:space="preserve">Rec IN (RUB/1K)</x:t>
        </x:is>
      </x:c>
      <x:c r="P5" s="3" t="inlineStr">
        <x:is>
          <x:t xml:space="preserve">Rec OUT (RUB/1K)</x:t>
        </x:is>
      </x:c>
      <x:c r="Q5" s="3" t="inlineStr">
        <x:is>
          <x:t xml:space="preserve">Rec vs Comp IN (%)</x:t>
        </x:is>
      </x:c>
      <x:c r="R5" s="3" t="inlineStr">
        <x:is>
          <x:t xml:space="preserve">Rec vs Comp OUT (%)</x:t>
        </x:is>
      </x:c>
      <x:c r="S5" s="3" t="inlineStr">
        <x:is>
          <x:t xml:space="preserve">Official source</x:t>
        </x:is>
      </x:c>
    </x:row>
    <x:row r="6">
      <x:c r="A6" s="4" t="inlineStr">
        <x:is>
          <x:t xml:space="preserve">GPT-5.2 Pro</x:t>
        </x:is>
      </x:c>
      <x:c r="B6" s="5" t="inlineStr">
        <x:is>
          <x:t xml:space="preserve">OpenAI</x:t>
        </x:is>
      </x:c>
      <x:c r="C6" s="6" t="n">
        <x:v>6.3</x:v>
      </x:c>
      <x:c r="D6" s="6" t="n">
        <x:v>50.4</x:v>
      </x:c>
      <x:c r="E6" s="7">
        <x:f>C6*1000/$B$1</x:f>
        <x:v>63</x:v>
      </x:c>
      <x:c r="F6" s="7">
        <x:f>D6*1000/$B$1</x:f>
        <x:v>504</x:v>
      </x:c>
      <x:c r="G6" s="7" t="n">
        <x:v>21</x:v>
      </x:c>
      <x:c r="H6" s="7" t="n">
        <x:v>168</x:v>
      </x:c>
      <x:c r="I6" s="6">
        <x:f>G6*$B$1/1000</x:f>
        <x:v>2.1</x:v>
      </x:c>
      <x:c r="J6" s="6">
        <x:f>H6*$B$1/1000</x:f>
        <x:v>16.8</x:v>
      </x:c>
      <x:c r="K6" s="7">
        <x:f>IFERROR(E6/G6,"")</x:f>
        <x:v>3</x:v>
      </x:c>
      <x:c r="L6" s="7">
        <x:f>IFERROR(F6/H6,"")</x:f>
        <x:v>3</x:v>
      </x:c>
      <x:c r="M6" s="8">
        <x:f>IF(K6="","",(K6-1))</x:f>
        <x:v>2</x:v>
      </x:c>
      <x:c r="N6" s="8">
        <x:f>IF(L6="","",(L6-1))</x:f>
        <x:v>2</x:v>
      </x:c>
      <x:c r="O6" s="6">
        <x:f>IF(I6="","",I6*$B$2)</x:f>
        <x:v>4.83</x:v>
      </x:c>
      <x:c r="P6" s="6">
        <x:f>IF(J6="","",J6*$B$3)</x:f>
        <x:v>42</x:v>
      </x:c>
      <x:c r="Q6" s="8">
        <x:f>IF(O6="","",(O6/C6-1))</x:f>
        <x:v>-0.23333333333333328</x:v>
      </x:c>
      <x:c r="R6" s="8">
        <x:f>IF(P6="","",(P6/D6-1))</x:f>
        <x:v>-0.16666666666666663</x:v>
      </x:c>
      <x:c r="S6" s="4" t="inlineStr">
        <x:is>
          <x:t xml:space="preserve">https://platform.openai.com/docs/pricing</x:t>
        </x:is>
      </x:c>
    </x:row>
    <x:row r="7">
      <x:c r="A7" s="4" t="inlineStr">
        <x:is>
          <x:t xml:space="preserve">GPT-5.2</x:t>
        </x:is>
      </x:c>
      <x:c r="B7" s="5" t="inlineStr">
        <x:is>
          <x:t xml:space="preserve">OpenAI</x:t>
        </x:is>
      </x:c>
      <x:c r="C7" s="6" t="n">
        <x:v>0.4</x:v>
      </x:c>
      <x:c r="D7" s="6" t="n">
        <x:v>3.5</x:v>
      </x:c>
      <x:c r="E7" s="7">
        <x:f>C7*1000/$B$1</x:f>
        <x:v>4</x:v>
      </x:c>
      <x:c r="F7" s="7">
        <x:f>D7*1000/$B$1</x:f>
        <x:v>35</x:v>
      </x:c>
      <x:c r="G7" s="7" t="n">
        <x:v>1.75</x:v>
      </x:c>
      <x:c r="H7" s="7" t="n">
        <x:v>14</x:v>
      </x:c>
      <x:c r="I7" s="6">
        <x:f>G7*$B$1/1000</x:f>
        <x:v>0.17500000000000002</x:v>
      </x:c>
      <x:c r="J7" s="6">
        <x:f>H7*$B$1/1000</x:f>
        <x:v>1.4000000000000001</x:v>
      </x:c>
      <x:c r="K7" s="7">
        <x:f>IFERROR(E7/G7,"")</x:f>
        <x:v>2.2857142857142856</x:v>
      </x:c>
      <x:c r="L7" s="7">
        <x:f>IFERROR(F7/H7,"")</x:f>
        <x:v>2.5</x:v>
      </x:c>
      <x:c r="M7" s="8">
        <x:f>IF(K7="","",(K7-1))</x:f>
        <x:v>1.2857142857142856</x:v>
      </x:c>
      <x:c r="N7" s="8">
        <x:f>IF(L7="","",(L7-1))</x:f>
        <x:v>1.5</x:v>
      </x:c>
      <x:c r="O7" s="6">
        <x:f>IF(I7="","",I7*$B$2)</x:f>
        <x:v>0.4025</x:v>
      </x:c>
      <x:c r="P7" s="6">
        <x:f>IF(J7="","",J7*$B$3)</x:f>
        <x:v>3.5000000000000004</x:v>
      </x:c>
      <x:c r="Q7" s="8">
        <x:f>IF(O7="","",(O7/C7-1))</x:f>
        <x:v>0.006250000000000089</x:v>
      </x:c>
      <x:c r="R7" s="8">
        <x:f>IF(P7="","",(P7/D7-1))</x:f>
        <x:v>2.220446049250313e-16</x:v>
      </x:c>
      <x:c r="S7" s="4" t="inlineStr">
        <x:is>
          <x:t xml:space="preserve">https://platform.openai.com/docs/pricing</x:t>
        </x:is>
      </x:c>
    </x:row>
    <x:row r="8">
      <x:c r="A8" s="4" t="inlineStr">
        <x:is>
          <x:t xml:space="preserve">GPT-5.2 Codex</x:t>
        </x:is>
      </x:c>
      <x:c r="B8" s="5" t="inlineStr">
        <x:is>
          <x:t xml:space="preserve">OpenAI</x:t>
        </x:is>
      </x:c>
      <x:c r="C8" s="6" t="n">
        <x:v>0.37</x:v>
      </x:c>
      <x:c r="D8" s="6" t="n">
        <x:v>3</x:v>
      </x:c>
      <x:c r="E8" s="7">
        <x:f>C8*1000/$B$1</x:f>
        <x:v>3.7</x:v>
      </x:c>
      <x:c r="F8" s="7">
        <x:f>D8*1000/$B$1</x:f>
        <x:v>30</x:v>
      </x:c>
      <x:c r="G8" s="7" t="n">
        <x:v>1.75</x:v>
      </x:c>
      <x:c r="H8" s="7" t="n">
        <x:v>14</x:v>
      </x:c>
      <x:c r="I8" s="6">
        <x:f>G8*$B$1/1000</x:f>
        <x:v>0.17500000000000002</x:v>
      </x:c>
      <x:c r="J8" s="6">
        <x:f>H8*$B$1/1000</x:f>
        <x:v>1.4000000000000001</x:v>
      </x:c>
      <x:c r="K8" s="7">
        <x:f>IFERROR(E8/G8,"")</x:f>
        <x:v>2.1142857142857143</x:v>
      </x:c>
      <x:c r="L8" s="7">
        <x:f>IFERROR(F8/H8,"")</x:f>
        <x:v>2.142857142857143</x:v>
      </x:c>
      <x:c r="M8" s="8">
        <x:f>IF(K8="","",(K8-1))</x:f>
        <x:v>1.1142857142857143</x:v>
      </x:c>
      <x:c r="N8" s="8">
        <x:f>IF(L8="","",(L8-1))</x:f>
        <x:v>1.1428571428571428</x:v>
      </x:c>
      <x:c r="O8" s="6">
        <x:f>IF(I8="","",I8*$B$2)</x:f>
        <x:v>0.4025</x:v>
      </x:c>
      <x:c r="P8" s="6">
        <x:f>IF(J8="","",J8*$B$3)</x:f>
        <x:v>3.5000000000000004</x:v>
      </x:c>
      <x:c r="Q8" s="8">
        <x:f>IF(O8="","",(O8/C8-1))</x:f>
        <x:v>0.08783783783783794</x:v>
      </x:c>
      <x:c r="R8" s="8">
        <x:f>IF(P8="","",(P8/D8-1))</x:f>
        <x:v>0.16666666666666674</x:v>
      </x:c>
      <x:c r="S8" s="4" t="inlineStr">
        <x:is>
          <x:t xml:space="preserve">https://platform.openai.com/docs/pricing</x:t>
        </x:is>
      </x:c>
    </x:row>
    <x:row r="9">
      <x:c r="A9" s="4" t="inlineStr">
        <x:is>
          <x:t xml:space="preserve">GPT-5.1 Codex Mini</x:t>
        </x:is>
      </x:c>
      <x:c r="B9" s="5" t="inlineStr">
        <x:is>
          <x:t xml:space="preserve">OpenAI</x:t>
        </x:is>
      </x:c>
      <x:c r="C9" s="6" t="n">
        <x:v>0.3</x:v>
      </x:c>
      <x:c r="D9" s="6" t="n">
        <x:v>1.2</x:v>
      </x:c>
      <x:c r="E9" s="7">
        <x:f>C9*1000/$B$1</x:f>
        <x:v>3</x:v>
      </x:c>
      <x:c r="F9" s="7">
        <x:f>D9*1000/$B$1</x:f>
        <x:v>12</x:v>
      </x:c>
      <x:c r="G9" s="7" t="inlineStr">
        <x:is>
          <x:t xml:space="preserve"/>
        </x:is>
      </x:c>
      <x:c r="H9" s="7" t="inlineStr">
        <x:is>
          <x:t xml:space="preserve"/>
        </x:is>
      </x:c>
      <x:c r="I9" s="6" t="inlineStr">
        <x:is>
          <x:t xml:space="preserve"/>
        </x:is>
      </x:c>
      <x:c r="J9" s="6" t="inlineStr">
        <x:is>
          <x:t xml:space="preserve"/>
        </x:is>
      </x:c>
      <x:c r="K9" s="7" t="inlineStr">
        <x:is>
          <x:t xml:space="preserve"/>
        </x:is>
      </x:c>
      <x:c r="L9" s="7" t="inlineStr">
        <x:is>
          <x:t xml:space="preserve"/>
        </x:is>
      </x:c>
      <x:c r="M9" s="8" t="inlineStr">
        <x:is>
          <x:t xml:space="preserve"/>
        </x:is>
      </x:c>
      <x:c r="N9" s="8" t="inlineStr">
        <x:is>
          <x:t xml:space="preserve"/>
        </x:is>
      </x:c>
      <x:c r="O9" s="6" t="inlineStr">
        <x:is>
          <x:t xml:space="preserve"/>
        </x:is>
      </x:c>
      <x:c r="P9" s="6" t="inlineStr">
        <x:is>
          <x:t xml:space="preserve"/>
        </x:is>
      </x:c>
      <x:c r="Q9" s="8" t="inlineStr">
        <x:is>
          <x:t xml:space="preserve"/>
        </x:is>
      </x:c>
      <x:c r="R9" s="8" t="inlineStr">
        <x:is>
          <x:t xml:space="preserve"/>
        </x:is>
      </x:c>
      <x:c r="S9" s="4" t="inlineStr">
        <x:is>
          <x:t xml:space="preserve">https://platform.openai.com/docs/pricing</x:t>
        </x:is>
      </x:c>
    </x:row>
    <x:row r="10">
      <x:c r="A10" s="4" t="inlineStr">
        <x:is>
          <x:t xml:space="preserve">GPT-5.1 Instant</x:t>
        </x:is>
      </x:c>
      <x:c r="B10" s="5" t="inlineStr">
        <x:is>
          <x:t xml:space="preserve">OpenAI</x:t>
        </x:is>
      </x:c>
      <x:c r="C10" s="6" t="n">
        <x:v>0.35</x:v>
      </x:c>
      <x:c r="D10" s="6" t="n">
        <x:v>2.8</x:v>
      </x:c>
      <x:c r="E10" s="7">
        <x:f>C10*1000/$B$1</x:f>
        <x:v>3.5</x:v>
      </x:c>
      <x:c r="F10" s="7">
        <x:f>D10*1000/$B$1</x:f>
        <x:v>28</x:v>
      </x:c>
      <x:c r="G10" s="7" t="n">
        <x:v>1.25</x:v>
      </x:c>
      <x:c r="H10" s="7" t="n">
        <x:v>10</x:v>
      </x:c>
      <x:c r="I10" s="6">
        <x:f>G10*$B$1/1000</x:f>
        <x:v>0.125</x:v>
      </x:c>
      <x:c r="J10" s="6">
        <x:f>H10*$B$1/1000</x:f>
        <x:v>1</x:v>
      </x:c>
      <x:c r="K10" s="7">
        <x:f>IFERROR(E10/G10,"")</x:f>
        <x:v>2.8</x:v>
      </x:c>
      <x:c r="L10" s="7">
        <x:f>IFERROR(F10/H10,"")</x:f>
        <x:v>2.8</x:v>
      </x:c>
      <x:c r="M10" s="8">
        <x:f>IF(K10="","",(K10-1))</x:f>
        <x:v>1.7999999999999998</x:v>
      </x:c>
      <x:c r="N10" s="8">
        <x:f>IF(L10="","",(L10-1))</x:f>
        <x:v>1.7999999999999998</x:v>
      </x:c>
      <x:c r="O10" s="6">
        <x:f>IF(I10="","",I10*$B$2)</x:f>
        <x:v>0.2875</x:v>
      </x:c>
      <x:c r="P10" s="6">
        <x:f>IF(J10="","",J10*$B$3)</x:f>
        <x:v>2.5</x:v>
      </x:c>
      <x:c r="Q10" s="8">
        <x:f>IF(O10="","",(O10/C10-1))</x:f>
        <x:v>-0.1785714285714286</x:v>
      </x:c>
      <x:c r="R10" s="8">
        <x:f>IF(P10="","",(P10/D10-1))</x:f>
        <x:v>-0.1071428571428571</x:v>
      </x:c>
      <x:c r="S10" s="4" t="inlineStr">
        <x:is>
          <x:t xml:space="preserve">https://platform.openai.com/docs/pricing</x:t>
        </x:is>
      </x:c>
    </x:row>
    <x:row r="11">
      <x:c r="A11" s="4" t="inlineStr">
        <x:is>
          <x:t xml:space="preserve">GPT-5.1 Codex</x:t>
        </x:is>
      </x:c>
      <x:c r="B11" s="5" t="inlineStr">
        <x:is>
          <x:t xml:space="preserve">OpenAI</x:t>
        </x:is>
      </x:c>
      <x:c r="C11" s="6" t="n">
        <x:v>0.35</x:v>
      </x:c>
      <x:c r="D11" s="6" t="n">
        <x:v>2.8</x:v>
      </x:c>
      <x:c r="E11" s="7">
        <x:f>C11*1000/$B$1</x:f>
        <x:v>3.5</x:v>
      </x:c>
      <x:c r="F11" s="7">
        <x:f>D11*1000/$B$1</x:f>
        <x:v>28</x:v>
      </x:c>
      <x:c r="G11" s="7" t="n">
        <x:v>1.25</x:v>
      </x:c>
      <x:c r="H11" s="7" t="n">
        <x:v>10</x:v>
      </x:c>
      <x:c r="I11" s="6">
        <x:f>G11*$B$1/1000</x:f>
        <x:v>0.125</x:v>
      </x:c>
      <x:c r="J11" s="6">
        <x:f>H11*$B$1/1000</x:f>
        <x:v>1</x:v>
      </x:c>
      <x:c r="K11" s="7">
        <x:f>IFERROR(E11/G11,"")</x:f>
        <x:v>2.8</x:v>
      </x:c>
      <x:c r="L11" s="7">
        <x:f>IFERROR(F11/H11,"")</x:f>
        <x:v>2.8</x:v>
      </x:c>
      <x:c r="M11" s="8">
        <x:f>IF(K11="","",(K11-1))</x:f>
        <x:v>1.7999999999999998</x:v>
      </x:c>
      <x:c r="N11" s="8">
        <x:f>IF(L11="","",(L11-1))</x:f>
        <x:v>1.7999999999999998</x:v>
      </x:c>
      <x:c r="O11" s="6">
        <x:f>IF(I11="","",I11*$B$2)</x:f>
        <x:v>0.2875</x:v>
      </x:c>
      <x:c r="P11" s="6">
        <x:f>IF(J11="","",J11*$B$3)</x:f>
        <x:v>2.5</x:v>
      </x:c>
      <x:c r="Q11" s="8">
        <x:f>IF(O11="","",(O11/C11-1))</x:f>
        <x:v>-0.1785714285714286</x:v>
      </x:c>
      <x:c r="R11" s="8">
        <x:f>IF(P11="","",(P11/D11-1))</x:f>
        <x:v>-0.1071428571428571</x:v>
      </x:c>
      <x:c r="S11" s="4" t="inlineStr">
        <x:is>
          <x:t xml:space="preserve">https://platform.openai.com/docs/pricing</x:t>
        </x:is>
      </x:c>
    </x:row>
    <x:row r="12">
      <x:c r="A12" s="4" t="inlineStr">
        <x:is>
          <x:t xml:space="preserve">GPT-5.1</x:t>
        </x:is>
      </x:c>
      <x:c r="B12" s="5" t="inlineStr">
        <x:is>
          <x:t xml:space="preserve">OpenAI</x:t>
        </x:is>
      </x:c>
      <x:c r="C12" s="6" t="n">
        <x:v>0.35</x:v>
      </x:c>
      <x:c r="D12" s="6" t="n">
        <x:v>2.8</x:v>
      </x:c>
      <x:c r="E12" s="7">
        <x:f>C12*1000/$B$1</x:f>
        <x:v>3.5</x:v>
      </x:c>
      <x:c r="F12" s="7">
        <x:f>D12*1000/$B$1</x:f>
        <x:v>28</x:v>
      </x:c>
      <x:c r="G12" s="7" t="n">
        <x:v>1.25</x:v>
      </x:c>
      <x:c r="H12" s="7" t="n">
        <x:v>10</x:v>
      </x:c>
      <x:c r="I12" s="6">
        <x:f>G12*$B$1/1000</x:f>
        <x:v>0.125</x:v>
      </x:c>
      <x:c r="J12" s="6">
        <x:f>H12*$B$1/1000</x:f>
        <x:v>1</x:v>
      </x:c>
      <x:c r="K12" s="7">
        <x:f>IFERROR(E12/G12,"")</x:f>
        <x:v>2.8</x:v>
      </x:c>
      <x:c r="L12" s="7">
        <x:f>IFERROR(F12/H12,"")</x:f>
        <x:v>2.8</x:v>
      </x:c>
      <x:c r="M12" s="8">
        <x:f>IF(K12="","",(K12-1))</x:f>
        <x:v>1.7999999999999998</x:v>
      </x:c>
      <x:c r="N12" s="8">
        <x:f>IF(L12="","",(L12-1))</x:f>
        <x:v>1.7999999999999998</x:v>
      </x:c>
      <x:c r="O12" s="6">
        <x:f>IF(I12="","",I12*$B$2)</x:f>
        <x:v>0.2875</x:v>
      </x:c>
      <x:c r="P12" s="6">
        <x:f>IF(J12="","",J12*$B$3)</x:f>
        <x:v>2.5</x:v>
      </x:c>
      <x:c r="Q12" s="8">
        <x:f>IF(O12="","",(O12/C12-1))</x:f>
        <x:v>-0.1785714285714286</x:v>
      </x:c>
      <x:c r="R12" s="8">
        <x:f>IF(P12="","",(P12/D12-1))</x:f>
        <x:v>-0.1071428571428571</x:v>
      </x:c>
      <x:c r="S12" s="4" t="inlineStr">
        <x:is>
          <x:t xml:space="preserve">https://platform.openai.com/docs/pricing</x:t>
        </x:is>
      </x:c>
    </x:row>
    <x:row r="13">
      <x:c r="A13" s="4" t="inlineStr">
        <x:is>
          <x:t xml:space="preserve">GPT 5</x:t>
        </x:is>
      </x:c>
      <x:c r="B13" s="5" t="inlineStr">
        <x:is>
          <x:t xml:space="preserve">OpenAI</x:t>
        </x:is>
      </x:c>
      <x:c r="C13" s="6" t="n">
        <x:v>0.35</x:v>
      </x:c>
      <x:c r="D13" s="6" t="n">
        <x:v>2.8</x:v>
      </x:c>
      <x:c r="E13" s="7">
        <x:f>C13*1000/$B$1</x:f>
        <x:v>3.5</x:v>
      </x:c>
      <x:c r="F13" s="7">
        <x:f>D13*1000/$B$1</x:f>
        <x:v>28</x:v>
      </x:c>
      <x:c r="G13" s="7" t="n">
        <x:v>1.25</x:v>
      </x:c>
      <x:c r="H13" s="7" t="n">
        <x:v>10</x:v>
      </x:c>
      <x:c r="I13" s="6">
        <x:f>G13*$B$1/1000</x:f>
        <x:v>0.125</x:v>
      </x:c>
      <x:c r="J13" s="6">
        <x:f>H13*$B$1/1000</x:f>
        <x:v>1</x:v>
      </x:c>
      <x:c r="K13" s="7">
        <x:f>IFERROR(E13/G13,"")</x:f>
        <x:v>2.8</x:v>
      </x:c>
      <x:c r="L13" s="7">
        <x:f>IFERROR(F13/H13,"")</x:f>
        <x:v>2.8</x:v>
      </x:c>
      <x:c r="M13" s="8">
        <x:f>IF(K13="","",(K13-1))</x:f>
        <x:v>1.7999999999999998</x:v>
      </x:c>
      <x:c r="N13" s="8">
        <x:f>IF(L13="","",(L13-1))</x:f>
        <x:v>1.7999999999999998</x:v>
      </x:c>
      <x:c r="O13" s="6">
        <x:f>IF(I13="","",I13*$B$2)</x:f>
        <x:v>0.2875</x:v>
      </x:c>
      <x:c r="P13" s="6">
        <x:f>IF(J13="","",J13*$B$3)</x:f>
        <x:v>2.5</x:v>
      </x:c>
      <x:c r="Q13" s="8">
        <x:f>IF(O13="","",(O13/C13-1))</x:f>
        <x:v>-0.1785714285714286</x:v>
      </x:c>
      <x:c r="R13" s="8">
        <x:f>IF(P13="","",(P13/D13-1))</x:f>
        <x:v>-0.1071428571428571</x:v>
      </x:c>
      <x:c r="S13" s="4" t="inlineStr">
        <x:is>
          <x:t xml:space="preserve">https://platform.openai.com/docs/pricing</x:t>
        </x:is>
      </x:c>
    </x:row>
    <x:row r="14">
      <x:c r="A14" s="4" t="inlineStr">
        <x:is>
          <x:t xml:space="preserve">GPT 5 Mini</x:t>
        </x:is>
      </x:c>
      <x:c r="B14" s="5" t="inlineStr">
        <x:is>
          <x:t xml:space="preserve">OpenAI</x:t>
        </x:is>
      </x:c>
      <x:c r="C14" s="6" t="n">
        <x:v>0.07000000000000001</x:v>
      </x:c>
      <x:c r="D14" s="6" t="n">
        <x:v>0.6</x:v>
      </x:c>
      <x:c r="E14" s="7">
        <x:f>C14*1000/$B$1</x:f>
        <x:v>0.7000000000000001</x:v>
      </x:c>
      <x:c r="F14" s="7">
        <x:f>D14*1000/$B$1</x:f>
        <x:v>6</x:v>
      </x:c>
      <x:c r="G14" s="7" t="n">
        <x:v>0.25</x:v>
      </x:c>
      <x:c r="H14" s="7" t="n">
        <x:v>2</x:v>
      </x:c>
      <x:c r="I14" s="6">
        <x:f>G14*$B$1/1000</x:f>
        <x:v>0.025</x:v>
      </x:c>
      <x:c r="J14" s="6">
        <x:f>H14*$B$1/1000</x:f>
        <x:v>0.2</x:v>
      </x:c>
      <x:c r="K14" s="7">
        <x:f>IFERROR(E14/G14,"")</x:f>
        <x:v>2.8000000000000003</x:v>
      </x:c>
      <x:c r="L14" s="7">
        <x:f>IFERROR(F14/H14,"")</x:f>
        <x:v>3</x:v>
      </x:c>
      <x:c r="M14" s="8">
        <x:f>IF(K14="","",(K14-1))</x:f>
        <x:v>1.8000000000000003</x:v>
      </x:c>
      <x:c r="N14" s="8">
        <x:f>IF(L14="","",(L14-1))</x:f>
        <x:v>2</x:v>
      </x:c>
      <x:c r="O14" s="6">
        <x:f>IF(I14="","",I14*$B$2)</x:f>
        <x:v>0.057499999999999996</x:v>
      </x:c>
      <x:c r="P14" s="6">
        <x:f>IF(J14="","",J14*$B$3)</x:f>
        <x:v>0.5</x:v>
      </x:c>
      <x:c r="Q14" s="8">
        <x:f>IF(O14="","",(O14/C14-1))</x:f>
        <x:v>-0.17857142857142871</x:v>
      </x:c>
      <x:c r="R14" s="8">
        <x:f>IF(P14="","",(P14/D14-1))</x:f>
        <x:v>-0.16666666666666663</x:v>
      </x:c>
      <x:c r="S14" s="4" t="inlineStr">
        <x:is>
          <x:t xml:space="preserve">https://platform.openai.com/docs/pricing</x:t>
        </x:is>
      </x:c>
    </x:row>
    <x:row r="15">
      <x:c r="A15" s="4" t="inlineStr">
        <x:is>
          <x:t xml:space="preserve">GPT 5 Nano</x:t>
        </x:is>
      </x:c>
      <x:c r="B15" s="5" t="inlineStr">
        <x:is>
          <x:t xml:space="preserve">OpenAI</x:t>
        </x:is>
      </x:c>
      <x:c r="C15" s="6" t="n">
        <x:v>0.01</x:v>
      </x:c>
      <x:c r="D15" s="6" t="n">
        <x:v>0.1</x:v>
      </x:c>
      <x:c r="E15" s="7">
        <x:f>C15*1000/$B$1</x:f>
        <x:v>0.1</x:v>
      </x:c>
      <x:c r="F15" s="7">
        <x:f>D15*1000/$B$1</x:f>
        <x:v>1</x:v>
      </x:c>
      <x:c r="G15" s="7" t="n">
        <x:v>0.05</x:v>
      </x:c>
      <x:c r="H15" s="7" t="n">
        <x:v>0.4</x:v>
      </x:c>
      <x:c r="I15" s="6">
        <x:f>G15*$B$1/1000</x:f>
        <x:v>0.005000000000000001</x:v>
      </x:c>
      <x:c r="J15" s="6">
        <x:f>H15*$B$1/1000</x:f>
        <x:v>0.04000000000000001</x:v>
      </x:c>
      <x:c r="K15" s="7">
        <x:f>IFERROR(E15/G15,"")</x:f>
        <x:v>2</x:v>
      </x:c>
      <x:c r="L15" s="7">
        <x:f>IFERROR(F15/H15,"")</x:f>
        <x:v>2.5</x:v>
      </x:c>
      <x:c r="M15" s="8">
        <x:f>IF(K15="","",(K15-1))</x:f>
        <x:v>1</x:v>
      </x:c>
      <x:c r="N15" s="8">
        <x:f>IF(L15="","",(L15-1))</x:f>
        <x:v>1.5</x:v>
      </x:c>
      <x:c r="O15" s="6">
        <x:f>IF(I15="","",I15*$B$2)</x:f>
        <x:v>0.011500000000000002</x:v>
      </x:c>
      <x:c r="P15" s="6">
        <x:f>IF(J15="","",J15*$B$3)</x:f>
        <x:v>0.10000000000000002</x:v>
      </x:c>
      <x:c r="Q15" s="8">
        <x:f>IF(O15="","",(O15/C15-1))</x:f>
        <x:v>0.15000000000000013</x:v>
      </x:c>
      <x:c r="R15" s="8">
        <x:f>IF(P15="","",(P15/D15-1))</x:f>
        <x:v>2.220446049250313e-16</x:v>
      </x:c>
      <x:c r="S15" s="4" t="inlineStr">
        <x:is>
          <x:t xml:space="preserve">https://platform.openai.com/docs/pricing</x:t>
        </x:is>
      </x:c>
    </x:row>
    <x:row r="16">
      <x:c r="A16" s="4" t="inlineStr">
        <x:is>
          <x:t xml:space="preserve">GPT 5 Codex</x:t>
        </x:is>
      </x:c>
      <x:c r="B16" s="5" t="inlineStr">
        <x:is>
          <x:t xml:space="preserve">OpenAI</x:t>
        </x:is>
      </x:c>
      <x:c r="C16" s="6" t="n">
        <x:v>0.35</x:v>
      </x:c>
      <x:c r="D16" s="6" t="n">
        <x:v>2.8</x:v>
      </x:c>
      <x:c r="E16" s="7">
        <x:f>C16*1000/$B$1</x:f>
        <x:v>3.5</x:v>
      </x:c>
      <x:c r="F16" s="7">
        <x:f>D16*1000/$B$1</x:f>
        <x:v>28</x:v>
      </x:c>
      <x:c r="G16" s="7" t="n">
        <x:v>1.25</x:v>
      </x:c>
      <x:c r="H16" s="7" t="n">
        <x:v>10</x:v>
      </x:c>
      <x:c r="I16" s="6">
        <x:f>G16*$B$1/1000</x:f>
        <x:v>0.125</x:v>
      </x:c>
      <x:c r="J16" s="6">
        <x:f>H16*$B$1/1000</x:f>
        <x:v>1</x:v>
      </x:c>
      <x:c r="K16" s="7">
        <x:f>IFERROR(E16/G16,"")</x:f>
        <x:v>2.8</x:v>
      </x:c>
      <x:c r="L16" s="7">
        <x:f>IFERROR(F16/H16,"")</x:f>
        <x:v>2.8</x:v>
      </x:c>
      <x:c r="M16" s="8">
        <x:f>IF(K16="","",(K16-1))</x:f>
        <x:v>1.7999999999999998</x:v>
      </x:c>
      <x:c r="N16" s="8">
        <x:f>IF(L16="","",(L16-1))</x:f>
        <x:v>1.7999999999999998</x:v>
      </x:c>
      <x:c r="O16" s="6">
        <x:f>IF(I16="","",I16*$B$2)</x:f>
        <x:v>0.2875</x:v>
      </x:c>
      <x:c r="P16" s="6">
        <x:f>IF(J16="","",J16*$B$3)</x:f>
        <x:v>2.5</x:v>
      </x:c>
      <x:c r="Q16" s="8">
        <x:f>IF(O16="","",(O16/C16-1))</x:f>
        <x:v>-0.1785714285714286</x:v>
      </x:c>
      <x:c r="R16" s="8">
        <x:f>IF(P16="","",(P16/D16-1))</x:f>
        <x:v>-0.1071428571428571</x:v>
      </x:c>
      <x:c r="S16" s="4" t="inlineStr">
        <x:is>
          <x:t xml:space="preserve">https://platform.openai.com/docs/pricing</x:t>
        </x:is>
      </x:c>
    </x:row>
    <x:row r="17">
      <x:c r="A17" s="4" t="inlineStr">
        <x:is>
          <x:t xml:space="preserve">GPT 4.1</x:t>
        </x:is>
      </x:c>
      <x:c r="B17" s="5" t="inlineStr">
        <x:is>
          <x:t xml:space="preserve">OpenAI</x:t>
        </x:is>
      </x:c>
      <x:c r="C17" s="6" t="n">
        <x:v>0.6</x:v>
      </x:c>
      <x:c r="D17" s="6" t="n">
        <x:v>2.4</x:v>
      </x:c>
      <x:c r="E17" s="7">
        <x:f>C17*1000/$B$1</x:f>
        <x:v>6</x:v>
      </x:c>
      <x:c r="F17" s="7">
        <x:f>D17*1000/$B$1</x:f>
        <x:v>24</x:v>
      </x:c>
      <x:c r="G17" s="7" t="n">
        <x:v>2</x:v>
      </x:c>
      <x:c r="H17" s="7" t="n">
        <x:v>8</x:v>
      </x:c>
      <x:c r="I17" s="6">
        <x:f>G17*$B$1/1000</x:f>
        <x:v>0.2</x:v>
      </x:c>
      <x:c r="J17" s="6">
        <x:f>H17*$B$1/1000</x:f>
        <x:v>0.8</x:v>
      </x:c>
      <x:c r="K17" s="7">
        <x:f>IFERROR(E17/G17,"")</x:f>
        <x:v>3</x:v>
      </x:c>
      <x:c r="L17" s="7">
        <x:f>IFERROR(F17/H17,"")</x:f>
        <x:v>3</x:v>
      </x:c>
      <x:c r="M17" s="8">
        <x:f>IF(K17="","",(K17-1))</x:f>
        <x:v>2</x:v>
      </x:c>
      <x:c r="N17" s="8">
        <x:f>IF(L17="","",(L17-1))</x:f>
        <x:v>2</x:v>
      </x:c>
      <x:c r="O17" s="6">
        <x:f>IF(I17="","",I17*$B$2)</x:f>
        <x:v>0.45999999999999996</x:v>
      </x:c>
      <x:c r="P17" s="6">
        <x:f>IF(J17="","",J17*$B$3)</x:f>
        <x:v>2</x:v>
      </x:c>
      <x:c r="Q17" s="8">
        <x:f>IF(O17="","",(O17/C17-1))</x:f>
        <x:v>-0.2333333333333334</x:v>
      </x:c>
      <x:c r="R17" s="8">
        <x:f>IF(P17="","",(P17/D17-1))</x:f>
        <x:v>-0.16666666666666663</x:v>
      </x:c>
      <x:c r="S17" s="4" t="inlineStr">
        <x:is>
          <x:t xml:space="preserve">https://platform.openai.com/docs/pricing</x:t>
        </x:is>
      </x:c>
    </x:row>
    <x:row r="18">
      <x:c r="A18" s="4" t="inlineStr">
        <x:is>
          <x:t xml:space="preserve">GPT 4.1 Mini</x:t>
        </x:is>
      </x:c>
      <x:c r="B18" s="5" t="inlineStr">
        <x:is>
          <x:t xml:space="preserve">OpenAI</x:t>
        </x:is>
      </x:c>
      <x:c r="C18" s="6" t="n">
        <x:v>0.12</x:v>
      </x:c>
      <x:c r="D18" s="6" t="n">
        <x:v>0.48</x:v>
      </x:c>
      <x:c r="E18" s="7">
        <x:f>C18*1000/$B$1</x:f>
        <x:v>1.2</x:v>
      </x:c>
      <x:c r="F18" s="7">
        <x:f>D18*1000/$B$1</x:f>
        <x:v>4.8</x:v>
      </x:c>
      <x:c r="G18" s="7" t="n">
        <x:v>0.4</x:v>
      </x:c>
      <x:c r="H18" s="7" t="n">
        <x:v>1.6</x:v>
      </x:c>
      <x:c r="I18" s="6">
        <x:f>G18*$B$1/1000</x:f>
        <x:v>0.04000000000000001</x:v>
      </x:c>
      <x:c r="J18" s="6">
        <x:f>H18*$B$1/1000</x:f>
        <x:v>0.16000000000000003</x:v>
      </x:c>
      <x:c r="K18" s="7">
        <x:f>IFERROR(E18/G18,"")</x:f>
        <x:v>2.9999999999999996</x:v>
      </x:c>
      <x:c r="L18" s="7">
        <x:f>IFERROR(F18/H18,"")</x:f>
        <x:v>2.9999999999999996</x:v>
      </x:c>
      <x:c r="M18" s="8">
        <x:f>IF(K18="","",(K18-1))</x:f>
        <x:v>1.9999999999999996</x:v>
      </x:c>
      <x:c r="N18" s="8">
        <x:f>IF(L18="","",(L18-1))</x:f>
        <x:v>1.9999999999999996</x:v>
      </x:c>
      <x:c r="O18" s="6">
        <x:f>IF(I18="","",I18*$B$2)</x:f>
        <x:v>0.09200000000000001</x:v>
      </x:c>
      <x:c r="P18" s="6">
        <x:f>IF(J18="","",J18*$B$3)</x:f>
        <x:v>0.4000000000000001</x:v>
      </x:c>
      <x:c r="Q18" s="8">
        <x:f>IF(O18="","",(O18/C18-1))</x:f>
        <x:v>-0.23333333333333317</x:v>
      </x:c>
      <x:c r="R18" s="8">
        <x:f>IF(P18="","",(P18/D18-1))</x:f>
        <x:v>-0.16666666666666652</x:v>
      </x:c>
      <x:c r="S18" s="4" t="inlineStr">
        <x:is>
          <x:t xml:space="preserve">https://platform.openai.com/docs/pricing</x:t>
        </x:is>
      </x:c>
    </x:row>
    <x:row r="19">
      <x:c r="A19" s="4" t="inlineStr">
        <x:is>
          <x:t xml:space="preserve">GPT 4.1 Nano</x:t>
        </x:is>
      </x:c>
      <x:c r="B19" s="5" t="inlineStr">
        <x:is>
          <x:t xml:space="preserve">OpenAI</x:t>
        </x:is>
      </x:c>
      <x:c r="C19" s="6" t="n">
        <x:v>0.03</x:v>
      </x:c>
      <x:c r="D19" s="6" t="n">
        <x:v>0.12</x:v>
      </x:c>
      <x:c r="E19" s="7">
        <x:f>C19*1000/$B$1</x:f>
        <x:v>0.3</x:v>
      </x:c>
      <x:c r="F19" s="7">
        <x:f>D19*1000/$B$1</x:f>
        <x:v>1.2</x:v>
      </x:c>
      <x:c r="G19" s="7" t="n">
        <x:v>0.1</x:v>
      </x:c>
      <x:c r="H19" s="7" t="n">
        <x:v>0.4</x:v>
      </x:c>
      <x:c r="I19" s="6">
        <x:f>G19*$B$1/1000</x:f>
        <x:v>0.010000000000000002</x:v>
      </x:c>
      <x:c r="J19" s="6">
        <x:f>H19*$B$1/1000</x:f>
        <x:v>0.04000000000000001</x:v>
      </x:c>
      <x:c r="K19" s="7">
        <x:f>IFERROR(E19/G19,"")</x:f>
        <x:v>2.9999999999999996</x:v>
      </x:c>
      <x:c r="L19" s="7">
        <x:f>IFERROR(F19/H19,"")</x:f>
        <x:v>2.9999999999999996</x:v>
      </x:c>
      <x:c r="M19" s="8">
        <x:f>IF(K19="","",(K19-1))</x:f>
        <x:v>1.9999999999999996</x:v>
      </x:c>
      <x:c r="N19" s="8">
        <x:f>IF(L19="","",(L19-1))</x:f>
        <x:v>1.9999999999999996</x:v>
      </x:c>
      <x:c r="O19" s="6">
        <x:f>IF(I19="","",I19*$B$2)</x:f>
        <x:v>0.023000000000000003</x:v>
      </x:c>
      <x:c r="P19" s="6">
        <x:f>IF(J19="","",J19*$B$3)</x:f>
        <x:v>0.10000000000000002</x:v>
      </x:c>
      <x:c r="Q19" s="8">
        <x:f>IF(O19="","",(O19/C19-1))</x:f>
        <x:v>-0.23333333333333317</x:v>
      </x:c>
      <x:c r="R19" s="8">
        <x:f>IF(P19="","",(P19/D19-1))</x:f>
        <x:v>-0.16666666666666652</x:v>
      </x:c>
      <x:c r="S19" s="4" t="inlineStr">
        <x:is>
          <x:t xml:space="preserve">https://platform.openai.com/docs/pricing</x:t>
        </x:is>
      </x:c>
    </x:row>
    <x:row r="20">
      <x:c r="A20" s="4" t="inlineStr">
        <x:is>
          <x:t xml:space="preserve">o3</x:t>
        </x:is>
      </x:c>
      <x:c r="B20" s="5" t="inlineStr">
        <x:is>
          <x:t xml:space="preserve">OpenAI</x:t>
        </x:is>
      </x:c>
      <x:c r="C20" s="6" t="n">
        <x:v>0.8</x:v>
      </x:c>
      <x:c r="D20" s="6" t="n">
        <x:v>3.2</x:v>
      </x:c>
      <x:c r="E20" s="7">
        <x:f>C20*1000/$B$1</x:f>
        <x:v>8</x:v>
      </x:c>
      <x:c r="F20" s="7">
        <x:f>D20*1000/$B$1</x:f>
        <x:v>32</x:v>
      </x:c>
      <x:c r="G20" s="7" t="n">
        <x:v>2</x:v>
      </x:c>
      <x:c r="H20" s="7" t="n">
        <x:v>8</x:v>
      </x:c>
      <x:c r="I20" s="6">
        <x:f>G20*$B$1/1000</x:f>
        <x:v>0.2</x:v>
      </x:c>
      <x:c r="J20" s="6">
        <x:f>H20*$B$1/1000</x:f>
        <x:v>0.8</x:v>
      </x:c>
      <x:c r="K20" s="7">
        <x:f>IFERROR(E20/G20,"")</x:f>
        <x:v>4</x:v>
      </x:c>
      <x:c r="L20" s="7">
        <x:f>IFERROR(F20/H20,"")</x:f>
        <x:v>4</x:v>
      </x:c>
      <x:c r="M20" s="8">
        <x:f>IF(K20="","",(K20-1))</x:f>
        <x:v>3</x:v>
      </x:c>
      <x:c r="N20" s="8">
        <x:f>IF(L20="","",(L20-1))</x:f>
        <x:v>3</x:v>
      </x:c>
      <x:c r="O20" s="6">
        <x:f>IF(I20="","",I20*$B$2)</x:f>
        <x:v>0.45999999999999996</x:v>
      </x:c>
      <x:c r="P20" s="6">
        <x:f>IF(J20="","",J20*$B$3)</x:f>
        <x:v>2</x:v>
      </x:c>
      <x:c r="Q20" s="8">
        <x:f>IF(O20="","",(O20/C20-1))</x:f>
        <x:v>-0.42500000000000004</x:v>
      </x:c>
      <x:c r="R20" s="8">
        <x:f>IF(P20="","",(P20/D20-1))</x:f>
        <x:v>-0.375</x:v>
      </x:c>
      <x:c r="S20" s="4" t="inlineStr">
        <x:is>
          <x:t xml:space="preserve">https://platform.openai.com/docs/pricing</x:t>
        </x:is>
      </x:c>
    </x:row>
    <x:row r="21">
      <x:c r="A21" s="4" t="inlineStr">
        <x:is>
          <x:t xml:space="preserve">o1</x:t>
        </x:is>
      </x:c>
      <x:c r="B21" s="5" t="inlineStr">
        <x:is>
          <x:t xml:space="preserve">OpenAI</x:t>
        </x:is>
      </x:c>
      <x:c r="C21" s="6" t="n">
        <x:v>4.5</x:v>
      </x:c>
      <x:c r="D21" s="6" t="n">
        <x:v>18</x:v>
      </x:c>
      <x:c r="E21" s="7">
        <x:f>C21*1000/$B$1</x:f>
        <x:v>45</x:v>
      </x:c>
      <x:c r="F21" s="7">
        <x:f>D21*1000/$B$1</x:f>
        <x:v>180</x:v>
      </x:c>
      <x:c r="G21" s="7" t="n">
        <x:v>15</x:v>
      </x:c>
      <x:c r="H21" s="7" t="n">
        <x:v>60</x:v>
      </x:c>
      <x:c r="I21" s="6">
        <x:f>G21*$B$1/1000</x:f>
        <x:v>1.5</x:v>
      </x:c>
      <x:c r="J21" s="6">
        <x:f>H21*$B$1/1000</x:f>
        <x:v>6</x:v>
      </x:c>
      <x:c r="K21" s="7">
        <x:f>IFERROR(E21/G21,"")</x:f>
        <x:v>3</x:v>
      </x:c>
      <x:c r="L21" s="7">
        <x:f>IFERROR(F21/H21,"")</x:f>
        <x:v>3</x:v>
      </x:c>
      <x:c r="M21" s="8">
        <x:f>IF(K21="","",(K21-1))</x:f>
        <x:v>2</x:v>
      </x:c>
      <x:c r="N21" s="8">
        <x:f>IF(L21="","",(L21-1))</x:f>
        <x:v>2</x:v>
      </x:c>
      <x:c r="O21" s="6">
        <x:f>IF(I21="","",I21*$B$2)</x:f>
        <x:v>3.4499999999999997</x:v>
      </x:c>
      <x:c r="P21" s="6">
        <x:f>IF(J21="","",J21*$B$3)</x:f>
        <x:v>15</x:v>
      </x:c>
      <x:c r="Q21" s="8">
        <x:f>IF(O21="","",(O21/C21-1))</x:f>
        <x:v>-0.2333333333333334</x:v>
      </x:c>
      <x:c r="R21" s="8">
        <x:f>IF(P21="","",(P21/D21-1))</x:f>
        <x:v>-0.16666666666666663</x:v>
      </x:c>
      <x:c r="S21" s="4" t="inlineStr">
        <x:is>
          <x:t xml:space="preserve">https://platform.openai.com/docs/pricing</x:t>
        </x:is>
      </x:c>
    </x:row>
    <x:row r="22">
      <x:c r="A22" s="4" t="inlineStr">
        <x:is>
          <x:t xml:space="preserve">o4-mini</x:t>
        </x:is>
      </x:c>
      <x:c r="B22" s="5" t="inlineStr">
        <x:is>
          <x:t xml:space="preserve">OpenAI</x:t>
        </x:is>
      </x:c>
      <x:c r="C22" s="6" t="n">
        <x:v>0.4</x:v>
      </x:c>
      <x:c r="D22" s="6" t="n">
        <x:v>1.7</x:v>
      </x:c>
      <x:c r="E22" s="7">
        <x:f>C22*1000/$B$1</x:f>
        <x:v>4</x:v>
      </x:c>
      <x:c r="F22" s="7">
        <x:f>D22*1000/$B$1</x:f>
        <x:v>17</x:v>
      </x:c>
      <x:c r="G22" s="7" t="n">
        <x:v>1.1</x:v>
      </x:c>
      <x:c r="H22" s="7" t="n">
        <x:v>4.4</x:v>
      </x:c>
      <x:c r="I22" s="6">
        <x:f>G22*$B$1/1000</x:f>
        <x:v>0.11000000000000001</x:v>
      </x:c>
      <x:c r="J22" s="6">
        <x:f>H22*$B$1/1000</x:f>
        <x:v>0.44000000000000006</x:v>
      </x:c>
      <x:c r="K22" s="7">
        <x:f>IFERROR(E22/G22,"")</x:f>
        <x:v>3.6363636363636362</x:v>
      </x:c>
      <x:c r="L22" s="7">
        <x:f>IFERROR(F22/H22,"")</x:f>
        <x:v>3.8636363636363633</x:v>
      </x:c>
      <x:c r="M22" s="8">
        <x:f>IF(K22="","",(K22-1))</x:f>
        <x:v>2.6363636363636362</x:v>
      </x:c>
      <x:c r="N22" s="8">
        <x:f>IF(L22="","",(L22-1))</x:f>
        <x:v>2.8636363636363633</x:v>
      </x:c>
      <x:c r="O22" s="6">
        <x:f>IF(I22="","",I22*$B$2)</x:f>
        <x:v>0.253</x:v>
      </x:c>
      <x:c r="P22" s="6">
        <x:f>IF(J22="","",J22*$B$3)</x:f>
        <x:v>1.1</x:v>
      </x:c>
      <x:c r="Q22" s="8">
        <x:f>IF(O22="","",(O22/C22-1))</x:f>
        <x:v>-0.36750000000000005</x:v>
      </x:c>
      <x:c r="R22" s="8">
        <x:f>IF(P22="","",(P22/D22-1))</x:f>
        <x:v>-0.3529411764705882</x:v>
      </x:c>
      <x:c r="S22" s="4" t="inlineStr">
        <x:is>
          <x:t xml:space="preserve">https://platform.openai.com/docs/pricing</x:t>
        </x:is>
      </x:c>
    </x:row>
    <x:row r="23">
      <x:c r="A23" s="4" t="inlineStr">
        <x:is>
          <x:t xml:space="preserve">o3-mini</x:t>
        </x:is>
      </x:c>
      <x:c r="B23" s="5" t="inlineStr">
        <x:is>
          <x:t xml:space="preserve">OpenAI</x:t>
        </x:is>
      </x:c>
      <x:c r="C23" s="6" t="n">
        <x:v>0.3</x:v>
      </x:c>
      <x:c r="D23" s="6" t="n">
        <x:v>1.3</x:v>
      </x:c>
      <x:c r="E23" s="7">
        <x:f>C23*1000/$B$1</x:f>
        <x:v>3</x:v>
      </x:c>
      <x:c r="F23" s="7">
        <x:f>D23*1000/$B$1</x:f>
        <x:v>13</x:v>
      </x:c>
      <x:c r="G23" s="7" t="n">
        <x:v>1.1</x:v>
      </x:c>
      <x:c r="H23" s="7" t="n">
        <x:v>4.4</x:v>
      </x:c>
      <x:c r="I23" s="6">
        <x:f>G23*$B$1/1000</x:f>
        <x:v>0.11000000000000001</x:v>
      </x:c>
      <x:c r="J23" s="6">
        <x:f>H23*$B$1/1000</x:f>
        <x:v>0.44000000000000006</x:v>
      </x:c>
      <x:c r="K23" s="7">
        <x:f>IFERROR(E23/G23,"")</x:f>
        <x:v>2.727272727272727</x:v>
      </x:c>
      <x:c r="L23" s="7">
        <x:f>IFERROR(F23/H23,"")</x:f>
        <x:v>2.954545454545454</x:v>
      </x:c>
      <x:c r="M23" s="8">
        <x:f>IF(K23="","",(K23-1))</x:f>
        <x:v>1.727272727272727</x:v>
      </x:c>
      <x:c r="N23" s="8">
        <x:f>IF(L23="","",(L23-1))</x:f>
        <x:v>1.9545454545454541</x:v>
      </x:c>
      <x:c r="O23" s="6">
        <x:f>IF(I23="","",I23*$B$2)</x:f>
        <x:v>0.253</x:v>
      </x:c>
      <x:c r="P23" s="6">
        <x:f>IF(J23="","",J23*$B$3)</x:f>
        <x:v>1.1</x:v>
      </x:c>
      <x:c r="Q23" s="8">
        <x:f>IF(O23="","",(O23/C23-1))</x:f>
        <x:v>-0.15666666666666662</x:v>
      </x:c>
      <x:c r="R23" s="8">
        <x:f>IF(P23="","",(P23/D23-1))</x:f>
        <x:v>-0.15384615384615385</x:v>
      </x:c>
      <x:c r="S23" s="4" t="inlineStr">
        <x:is>
          <x:t xml:space="preserve">https://platform.openai.com/docs/pricing</x:t>
        </x:is>
      </x:c>
    </x:row>
    <x:row r="24">
      <x:c r="A24" s="4" t="inlineStr">
        <x:is>
          <x:t xml:space="preserve">o1-mini</x:t>
        </x:is>
      </x:c>
      <x:c r="B24" s="5" t="inlineStr">
        <x:is>
          <x:t xml:space="preserve">OpenAI</x:t>
        </x:is>
      </x:c>
      <x:c r="C24" s="6" t="n">
        <x:v>0.3</x:v>
      </x:c>
      <x:c r="D24" s="6" t="n">
        <x:v>1.3</x:v>
      </x:c>
      <x:c r="E24" s="7">
        <x:f>C24*1000/$B$1</x:f>
        <x:v>3</x:v>
      </x:c>
      <x:c r="F24" s="7">
        <x:f>D24*1000/$B$1</x:f>
        <x:v>13</x:v>
      </x:c>
      <x:c r="G24" s="7" t="n">
        <x:v>1.1</x:v>
      </x:c>
      <x:c r="H24" s="7" t="n">
        <x:v>4.4</x:v>
      </x:c>
      <x:c r="I24" s="6">
        <x:f>G24*$B$1/1000</x:f>
        <x:v>0.11000000000000001</x:v>
      </x:c>
      <x:c r="J24" s="6">
        <x:f>H24*$B$1/1000</x:f>
        <x:v>0.44000000000000006</x:v>
      </x:c>
      <x:c r="K24" s="7">
        <x:f>IFERROR(E24/G24,"")</x:f>
        <x:v>2.727272727272727</x:v>
      </x:c>
      <x:c r="L24" s="7">
        <x:f>IFERROR(F24/H24,"")</x:f>
        <x:v>2.954545454545454</x:v>
      </x:c>
      <x:c r="M24" s="8">
        <x:f>IF(K24="","",(K24-1))</x:f>
        <x:v>1.727272727272727</x:v>
      </x:c>
      <x:c r="N24" s="8">
        <x:f>IF(L24="","",(L24-1))</x:f>
        <x:v>1.9545454545454541</x:v>
      </x:c>
      <x:c r="O24" s="6">
        <x:f>IF(I24="","",I24*$B$2)</x:f>
        <x:v>0.253</x:v>
      </x:c>
      <x:c r="P24" s="6">
        <x:f>IF(J24="","",J24*$B$3)</x:f>
        <x:v>1.1</x:v>
      </x:c>
      <x:c r="Q24" s="8">
        <x:f>IF(O24="","",(O24/C24-1))</x:f>
        <x:v>-0.15666666666666662</x:v>
      </x:c>
      <x:c r="R24" s="8">
        <x:f>IF(P24="","",(P24/D24-1))</x:f>
        <x:v>-0.15384615384615385</x:v>
      </x:c>
      <x:c r="S24" s="4" t="inlineStr">
        <x:is>
          <x:t xml:space="preserve">https://platform.openai.com/docs/pricing</x:t>
        </x:is>
      </x:c>
    </x:row>
    <x:row r="25">
      <x:c r="A25" s="4" t="inlineStr">
        <x:is>
          <x:t xml:space="preserve">GPT-4o</x:t>
        </x:is>
      </x:c>
      <x:c r="B25" s="5" t="inlineStr">
        <x:is>
          <x:t xml:space="preserve">OpenAI</x:t>
        </x:is>
      </x:c>
      <x:c r="C25" s="6" t="n">
        <x:v>1.35</x:v>
      </x:c>
      <x:c r="D25" s="6" t="n">
        <x:v>2.7</x:v>
      </x:c>
      <x:c r="E25" s="7">
        <x:f>C25*1000/$B$1</x:f>
        <x:v>13.5</x:v>
      </x:c>
      <x:c r="F25" s="7">
        <x:f>D25*1000/$B$1</x:f>
        <x:v>27</x:v>
      </x:c>
      <x:c r="G25" s="7" t="n">
        <x:v>2.5</x:v>
      </x:c>
      <x:c r="H25" s="7" t="n">
        <x:v>10</x:v>
      </x:c>
      <x:c r="I25" s="6">
        <x:f>G25*$B$1/1000</x:f>
        <x:v>0.25</x:v>
      </x:c>
      <x:c r="J25" s="6">
        <x:f>H25*$B$1/1000</x:f>
        <x:v>1</x:v>
      </x:c>
      <x:c r="K25" s="7">
        <x:f>IFERROR(E25/G25,"")</x:f>
        <x:v>5.4</x:v>
      </x:c>
      <x:c r="L25" s="7">
        <x:f>IFERROR(F25/H25,"")</x:f>
        <x:v>2.7</x:v>
      </x:c>
      <x:c r="M25" s="8">
        <x:f>IF(K25="","",(K25-1))</x:f>
        <x:v>4.4</x:v>
      </x:c>
      <x:c r="N25" s="8">
        <x:f>IF(L25="","",(L25-1))</x:f>
        <x:v>1.7000000000000002</x:v>
      </x:c>
      <x:c r="O25" s="6">
        <x:f>IF(I25="","",I25*$B$2)</x:f>
        <x:v>0.575</x:v>
      </x:c>
      <x:c r="P25" s="6">
        <x:f>IF(J25="","",J25*$B$3)</x:f>
        <x:v>2.5</x:v>
      </x:c>
      <x:c r="Q25" s="8">
        <x:f>IF(O25="","",(O25/C25-1))</x:f>
        <x:v>-0.5740740740740742</x:v>
      </x:c>
      <x:c r="R25" s="8">
        <x:f>IF(P25="","",(P25/D25-1))</x:f>
        <x:v>-0.07407407407407418</x:v>
      </x:c>
      <x:c r="S25" s="4" t="inlineStr">
        <x:is>
          <x:t xml:space="preserve">https://platform.openai.com/docs/pricing</x:t>
        </x:is>
      </x:c>
    </x:row>
    <x:row r="26">
      <x:c r="A26" s="4" t="inlineStr">
        <x:is>
          <x:t xml:space="preserve">GPT-4o Mini</x:t>
        </x:is>
      </x:c>
      <x:c r="B26" s="5" t="inlineStr">
        <x:is>
          <x:t xml:space="preserve">OpenAI</x:t>
        </x:is>
      </x:c>
      <x:c r="C26" s="6" t="n">
        <x:v>0.12</x:v>
      </x:c>
      <x:c r="D26" s="6" t="n">
        <x:v>0.48</x:v>
      </x:c>
      <x:c r="E26" s="7">
        <x:f>C26*1000/$B$1</x:f>
        <x:v>1.2</x:v>
      </x:c>
      <x:c r="F26" s="7">
        <x:f>D26*1000/$B$1</x:f>
        <x:v>4.8</x:v>
      </x:c>
      <x:c r="G26" s="7" t="n">
        <x:v>0.15</x:v>
      </x:c>
      <x:c r="H26" s="7" t="n">
        <x:v>0.6</x:v>
      </x:c>
      <x:c r="I26" s="6">
        <x:f>G26*$B$1/1000</x:f>
        <x:v>0.015</x:v>
      </x:c>
      <x:c r="J26" s="6">
        <x:f>H26*$B$1/1000</x:f>
        <x:v>0.06</x:v>
      </x:c>
      <x:c r="K26" s="7">
        <x:f>IFERROR(E26/G26,"")</x:f>
        <x:v>8</x:v>
      </x:c>
      <x:c r="L26" s="7">
        <x:f>IFERROR(F26/H26,"")</x:f>
        <x:v>8</x:v>
      </x:c>
      <x:c r="M26" s="8">
        <x:f>IF(K26="","",(K26-1))</x:f>
        <x:v>7</x:v>
      </x:c>
      <x:c r="N26" s="8">
        <x:f>IF(L26="","",(L26-1))</x:f>
        <x:v>7</x:v>
      </x:c>
      <x:c r="O26" s="6">
        <x:f>IF(I26="","",I26*$B$2)</x:f>
        <x:v>0.034499999999999996</x:v>
      </x:c>
      <x:c r="P26" s="6">
        <x:f>IF(J26="","",J26*$B$3)</x:f>
        <x:v>0.15</x:v>
      </x:c>
      <x:c r="Q26" s="8">
        <x:f>IF(O26="","",(O26/C26-1))</x:f>
        <x:v>-0.7125</x:v>
      </x:c>
      <x:c r="R26" s="8">
        <x:f>IF(P26="","",(P26/D26-1))</x:f>
        <x:v>-0.6875</x:v>
      </x:c>
      <x:c r="S26" s="4" t="inlineStr">
        <x:is>
          <x:t xml:space="preserve">https://platform.openai.com/docs/pricing</x:t>
        </x:is>
      </x:c>
    </x:row>
    <x:row r="27">
      <x:c r="A27" s="4" t="inlineStr">
        <x:is>
          <x:t xml:space="preserve">GPT-4o Search</x:t>
        </x:is>
      </x:c>
      <x:c r="B27" s="5" t="inlineStr">
        <x:is>
          <x:t xml:space="preserve">OpenAI</x:t>
        </x:is>
      </x:c>
      <x:c r="C27" s="6" t="n">
        <x:v>1.35</x:v>
      </x:c>
      <x:c r="D27" s="6" t="n">
        <x:v>2.7</x:v>
      </x:c>
      <x:c r="E27" s="7">
        <x:f>C27*1000/$B$1</x:f>
        <x:v>13.5</x:v>
      </x:c>
      <x:c r="F27" s="7">
        <x:f>D27*1000/$B$1</x:f>
        <x:v>27</x:v>
      </x:c>
      <x:c r="G27" s="7" t="n">
        <x:v>2.5</x:v>
      </x:c>
      <x:c r="H27" s="7" t="n">
        <x:v>10</x:v>
      </x:c>
      <x:c r="I27" s="6">
        <x:f>G27*$B$1/1000</x:f>
        <x:v>0.25</x:v>
      </x:c>
      <x:c r="J27" s="6">
        <x:f>H27*$B$1/1000</x:f>
        <x:v>1</x:v>
      </x:c>
      <x:c r="K27" s="7">
        <x:f>IFERROR(E27/G27,"")</x:f>
        <x:v>5.4</x:v>
      </x:c>
      <x:c r="L27" s="7">
        <x:f>IFERROR(F27/H27,"")</x:f>
        <x:v>2.7</x:v>
      </x:c>
      <x:c r="M27" s="8">
        <x:f>IF(K27="","",(K27-1))</x:f>
        <x:v>4.4</x:v>
      </x:c>
      <x:c r="N27" s="8">
        <x:f>IF(L27="","",(L27-1))</x:f>
        <x:v>1.7000000000000002</x:v>
      </x:c>
      <x:c r="O27" s="6">
        <x:f>IF(I27="","",I27*$B$2)</x:f>
        <x:v>0.575</x:v>
      </x:c>
      <x:c r="P27" s="6">
        <x:f>IF(J27="","",J27*$B$3)</x:f>
        <x:v>2.5</x:v>
      </x:c>
      <x:c r="Q27" s="8">
        <x:f>IF(O27="","",(O27/C27-1))</x:f>
        <x:v>-0.5740740740740742</x:v>
      </x:c>
      <x:c r="R27" s="8">
        <x:f>IF(P27="","",(P27/D27-1))</x:f>
        <x:v>-0.07407407407407418</x:v>
      </x:c>
      <x:c r="S27" s="4" t="inlineStr">
        <x:is>
          <x:t xml:space="preserve">https://platform.openai.com/docs/pricing</x:t>
        </x:is>
      </x:c>
    </x:row>
    <x:row r="28">
      <x:c r="A28" s="4" t="inlineStr">
        <x:is>
          <x:t xml:space="preserve">GPT-4o Mini Search</x:t>
        </x:is>
      </x:c>
      <x:c r="B28" s="5" t="inlineStr">
        <x:is>
          <x:t xml:space="preserve">OpenAI</x:t>
        </x:is>
      </x:c>
      <x:c r="C28" s="6" t="n">
        <x:v>0.12</x:v>
      </x:c>
      <x:c r="D28" s="6" t="n">
        <x:v>0.48</x:v>
      </x:c>
      <x:c r="E28" s="7">
        <x:f>C28*1000/$B$1</x:f>
        <x:v>1.2</x:v>
      </x:c>
      <x:c r="F28" s="7">
        <x:f>D28*1000/$B$1</x:f>
        <x:v>4.8</x:v>
      </x:c>
      <x:c r="G28" s="7" t="n">
        <x:v>0.15</x:v>
      </x:c>
      <x:c r="H28" s="7" t="n">
        <x:v>0.6</x:v>
      </x:c>
      <x:c r="I28" s="6">
        <x:f>G28*$B$1/1000</x:f>
        <x:v>0.015</x:v>
      </x:c>
      <x:c r="J28" s="6">
        <x:f>H28*$B$1/1000</x:f>
        <x:v>0.06</x:v>
      </x:c>
      <x:c r="K28" s="7">
        <x:f>IFERROR(E28/G28,"")</x:f>
        <x:v>8</x:v>
      </x:c>
      <x:c r="L28" s="7">
        <x:f>IFERROR(F28/H28,"")</x:f>
        <x:v>8</x:v>
      </x:c>
      <x:c r="M28" s="8">
        <x:f>IF(K28="","",(K28-1))</x:f>
        <x:v>7</x:v>
      </x:c>
      <x:c r="N28" s="8">
        <x:f>IF(L28="","",(L28-1))</x:f>
        <x:v>7</x:v>
      </x:c>
      <x:c r="O28" s="6">
        <x:f>IF(I28="","",I28*$B$2)</x:f>
        <x:v>0.034499999999999996</x:v>
      </x:c>
      <x:c r="P28" s="6">
        <x:f>IF(J28="","",J28*$B$3)</x:f>
        <x:v>0.15</x:v>
      </x:c>
      <x:c r="Q28" s="8">
        <x:f>IF(O28="","",(O28/C28-1))</x:f>
        <x:v>-0.7125</x:v>
      </x:c>
      <x:c r="R28" s="8">
        <x:f>IF(P28="","",(P28/D28-1))</x:f>
        <x:v>-0.6875</x:v>
      </x:c>
      <x:c r="S28" s="4" t="inlineStr">
        <x:is>
          <x:t xml:space="preserve">https://platform.openai.com/docs/pricing</x:t>
        </x:is>
      </x:c>
    </x:row>
    <x:row r="29">
      <x:c r="A29" s="4" t="inlineStr">
        <x:is>
          <x:t xml:space="preserve">Grok 4 Fast</x:t>
        </x:is>
      </x:c>
      <x:c r="B29" s="5" t="inlineStr">
        <x:is>
          <x:t xml:space="preserve">xAI</x:t>
        </x:is>
      </x:c>
      <x:c r="C29" s="6" t="n">
        <x:v>0.06</x:v>
      </x:c>
      <x:c r="D29" s="6" t="n">
        <x:v>0.15</x:v>
      </x:c>
      <x:c r="E29" s="7">
        <x:f>C29*1000/$B$1</x:f>
        <x:v>0.6</x:v>
      </x:c>
      <x:c r="F29" s="7">
        <x:f>D29*1000/$B$1</x:f>
        <x:v>1.5</x:v>
      </x:c>
      <x:c r="G29" s="7" t="n">
        <x:v>0.2</x:v>
      </x:c>
      <x:c r="H29" s="7" t="n">
        <x:v>0.5</x:v>
      </x:c>
      <x:c r="I29" s="6">
        <x:f>G29*$B$1/1000</x:f>
        <x:v>0.020000000000000004</x:v>
      </x:c>
      <x:c r="J29" s="6">
        <x:f>H29*$B$1/1000</x:f>
        <x:v>0.05</x:v>
      </x:c>
      <x:c r="K29" s="7">
        <x:f>IFERROR(E29/G29,"")</x:f>
        <x:v>2.9999999999999996</x:v>
      </x:c>
      <x:c r="L29" s="7">
        <x:f>IFERROR(F29/H29,"")</x:f>
        <x:v>3</x:v>
      </x:c>
      <x:c r="M29" s="8">
        <x:f>IF(K29="","",(K29-1))</x:f>
        <x:v>1.9999999999999996</x:v>
      </x:c>
      <x:c r="N29" s="8">
        <x:f>IF(L29="","",(L29-1))</x:f>
        <x:v>2</x:v>
      </x:c>
      <x:c r="O29" s="6">
        <x:f>IF(I29="","",I29*$B$2)</x:f>
        <x:v>0.046000000000000006</x:v>
      </x:c>
      <x:c r="P29" s="6">
        <x:f>IF(J29="","",J29*$B$3)</x:f>
        <x:v>0.125</x:v>
      </x:c>
      <x:c r="Q29" s="8">
        <x:f>IF(O29="","",(O29/C29-1))</x:f>
        <x:v>-0.23333333333333317</x:v>
      </x:c>
      <x:c r="R29" s="8">
        <x:f>IF(P29="","",(P29/D29-1))</x:f>
        <x:v>-0.16666666666666663</x:v>
      </x:c>
      <x:c r="S29" s="4" t="inlineStr">
        <x:is>
          <x:t xml:space="preserve">https://x.ai/api</x:t>
        </x:is>
      </x:c>
    </x:row>
    <x:row r="30">
      <x:c r="A30" s="4" t="inlineStr">
        <x:is>
          <x:t xml:space="preserve">xAI Grok 4</x:t>
        </x:is>
      </x:c>
      <x:c r="B30" s="5" t="inlineStr">
        <x:is>
          <x:t xml:space="preserve">xAI</x:t>
        </x:is>
      </x:c>
      <x:c r="C30" s="6" t="n">
        <x:v>0.9</x:v>
      </x:c>
      <x:c r="D30" s="6" t="n">
        <x:v>4.5</x:v>
      </x:c>
      <x:c r="E30" s="7">
        <x:f>C30*1000/$B$1</x:f>
        <x:v>9</x:v>
      </x:c>
      <x:c r="F30" s="7">
        <x:f>D30*1000/$B$1</x:f>
        <x:v>45</x:v>
      </x:c>
      <x:c r="G30" s="7" t="n">
        <x:v>3</x:v>
      </x:c>
      <x:c r="H30" s="7" t="n">
        <x:v>15</x:v>
      </x:c>
      <x:c r="I30" s="6">
        <x:f>G30*$B$1/1000</x:f>
        <x:v>0.30000000000000004</x:v>
      </x:c>
      <x:c r="J30" s="6">
        <x:f>H30*$B$1/1000</x:f>
        <x:v>1.5</x:v>
      </x:c>
      <x:c r="K30" s="7">
        <x:f>IFERROR(E30/G30,"")</x:f>
        <x:v>3</x:v>
      </x:c>
      <x:c r="L30" s="7">
        <x:f>IFERROR(F30/H30,"")</x:f>
        <x:v>3</x:v>
      </x:c>
      <x:c r="M30" s="8">
        <x:f>IF(K30="","",(K30-1))</x:f>
        <x:v>2</x:v>
      </x:c>
      <x:c r="N30" s="8">
        <x:f>IF(L30="","",(L30-1))</x:f>
        <x:v>2</x:v>
      </x:c>
      <x:c r="O30" s="6">
        <x:f>IF(I30="","",I30*$B$2)</x:f>
        <x:v>0.6900000000000001</x:v>
      </x:c>
      <x:c r="P30" s="6">
        <x:f>IF(J30="","",J30*$B$3)</x:f>
        <x:v>3.75</x:v>
      </x:c>
      <x:c r="Q30" s="8">
        <x:f>IF(O30="","",(O30/C30-1))</x:f>
        <x:v>-0.23333333333333328</x:v>
      </x:c>
      <x:c r="R30" s="8">
        <x:f>IF(P30="","",(P30/D30-1))</x:f>
        <x:v>-0.16666666666666663</x:v>
      </x:c>
      <x:c r="S30" s="4" t="inlineStr">
        <x:is>
          <x:t xml:space="preserve">https://x.ai/api</x:t>
        </x:is>
      </x:c>
    </x:row>
    <x:row r="31">
      <x:c r="A31" s="4" t="inlineStr">
        <x:is>
          <x:t xml:space="preserve">xAI Grok 2</x:t>
        </x:is>
      </x:c>
      <x:c r="B31" s="5" t="inlineStr">
        <x:is>
          <x:t xml:space="preserve">xAI</x:t>
        </x:is>
      </x:c>
      <x:c r="C31" s="6" t="n">
        <x:v>0.6</x:v>
      </x:c>
      <x:c r="D31" s="6" t="n">
        <x:v>3</x:v>
      </x:c>
      <x:c r="E31" s="7">
        <x:f>C31*1000/$B$1</x:f>
        <x:v>6</x:v>
      </x:c>
      <x:c r="F31" s="7">
        <x:f>D31*1000/$B$1</x:f>
        <x:v>30</x:v>
      </x:c>
      <x:c r="G31" s="7" t="n">
        <x:v>2</x:v>
      </x:c>
      <x:c r="H31" s="7" t="n">
        <x:v>10</x:v>
      </x:c>
      <x:c r="I31" s="6">
        <x:f>G31*$B$1/1000</x:f>
        <x:v>0.2</x:v>
      </x:c>
      <x:c r="J31" s="6">
        <x:f>H31*$B$1/1000</x:f>
        <x:v>1</x:v>
      </x:c>
      <x:c r="K31" s="7">
        <x:f>IFERROR(E31/G31,"")</x:f>
        <x:v>3</x:v>
      </x:c>
      <x:c r="L31" s="7">
        <x:f>IFERROR(F31/H31,"")</x:f>
        <x:v>3</x:v>
      </x:c>
      <x:c r="M31" s="8">
        <x:f>IF(K31="","",(K31-1))</x:f>
        <x:v>2</x:v>
      </x:c>
      <x:c r="N31" s="8">
        <x:f>IF(L31="","",(L31-1))</x:f>
        <x:v>2</x:v>
      </x:c>
      <x:c r="O31" s="6">
        <x:f>IF(I31="","",I31*$B$2)</x:f>
        <x:v>0.45999999999999996</x:v>
      </x:c>
      <x:c r="P31" s="6">
        <x:f>IF(J31="","",J31*$B$3)</x:f>
        <x:v>2.5</x:v>
      </x:c>
      <x:c r="Q31" s="8">
        <x:f>IF(O31="","",(O31/C31-1))</x:f>
        <x:v>-0.2333333333333334</x:v>
      </x:c>
      <x:c r="R31" s="8">
        <x:f>IF(P31="","",(P31/D31-1))</x:f>
        <x:v>-0.16666666666666663</x:v>
      </x:c>
      <x:c r="S31" s="4" t="inlineStr">
        <x:is>
          <x:t xml:space="preserve">https://x.ai/api</x:t>
        </x:is>
      </x:c>
    </x:row>
    <x:row r="32">
      <x:c r="A32" s="4" t="inlineStr">
        <x:is>
          <x:t xml:space="preserve">Claude 4.5 Opus</x:t>
        </x:is>
      </x:c>
      <x:c r="B32" s="5" t="inlineStr">
        <x:is>
          <x:t xml:space="preserve">Anthropic</x:t>
        </x:is>
      </x:c>
      <x:c r="C32" s="6" t="n">
        <x:v>1.5</x:v>
      </x:c>
      <x:c r="D32" s="6" t="n">
        <x:v>7.5</x:v>
      </x:c>
      <x:c r="E32" s="7">
        <x:f>C32*1000/$B$1</x:f>
        <x:v>15</x:v>
      </x:c>
      <x:c r="F32" s="7">
        <x:f>D32*1000/$B$1</x:f>
        <x:v>75</x:v>
      </x:c>
      <x:c r="G32" s="7" t="n">
        <x:v>5</x:v>
      </x:c>
      <x:c r="H32" s="7" t="n">
        <x:v>25</x:v>
      </x:c>
      <x:c r="I32" s="6">
        <x:f>G32*$B$1/1000</x:f>
        <x:v>0.5</x:v>
      </x:c>
      <x:c r="J32" s="6">
        <x:f>H32*$B$1/1000</x:f>
        <x:v>2.5</x:v>
      </x:c>
      <x:c r="K32" s="7">
        <x:f>IFERROR(E32/G32,"")</x:f>
        <x:v>3</x:v>
      </x:c>
      <x:c r="L32" s="7">
        <x:f>IFERROR(F32/H32,"")</x:f>
        <x:v>3</x:v>
      </x:c>
      <x:c r="M32" s="8">
        <x:f>IF(K32="","",(K32-1))</x:f>
        <x:v>2</x:v>
      </x:c>
      <x:c r="N32" s="8">
        <x:f>IF(L32="","",(L32-1))</x:f>
        <x:v>2</x:v>
      </x:c>
      <x:c r="O32" s="6">
        <x:f>IF(I32="","",I32*$B$2)</x:f>
        <x:v>1.15</x:v>
      </x:c>
      <x:c r="P32" s="6">
        <x:f>IF(J32="","",J32*$B$3)</x:f>
        <x:v>6.25</x:v>
      </x:c>
      <x:c r="Q32" s="8">
        <x:f>IF(O32="","",(O32/C32-1))</x:f>
        <x:v>-0.2333333333333334</x:v>
      </x:c>
      <x:c r="R32" s="8">
        <x:f>IF(P32="","",(P32/D32-1))</x:f>
        <x:v>-0.16666666666666663</x:v>
      </x:c>
      <x:c r="S32" s="4" t="inlineStr">
        <x:is>
          <x:t xml:space="preserve">https://www.anthropic.com/api</x:t>
        </x:is>
      </x:c>
    </x:row>
    <x:row r="33">
      <x:c r="A33" s="4" t="inlineStr">
        <x:is>
          <x:t xml:space="preserve">Claude Haiku 4.5</x:t>
        </x:is>
      </x:c>
      <x:c r="B33" s="5" t="inlineStr">
        <x:is>
          <x:t xml:space="preserve">Anthropic</x:t>
        </x:is>
      </x:c>
      <x:c r="C33" s="6" t="n">
        <x:v>0.2</x:v>
      </x:c>
      <x:c r="D33" s="6" t="n">
        <x:v>1</x:v>
      </x:c>
      <x:c r="E33" s="7">
        <x:f>C33*1000/$B$1</x:f>
        <x:v>2</x:v>
      </x:c>
      <x:c r="F33" s="7">
        <x:f>D33*1000/$B$1</x:f>
        <x:v>10</x:v>
      </x:c>
      <x:c r="G33" s="7" t="n">
        <x:v>1</x:v>
      </x:c>
      <x:c r="H33" s="7" t="n">
        <x:v>5</x:v>
      </x:c>
      <x:c r="I33" s="6">
        <x:f>G33*$B$1/1000</x:f>
        <x:v>0.1</x:v>
      </x:c>
      <x:c r="J33" s="6">
        <x:f>H33*$B$1/1000</x:f>
        <x:v>0.5</x:v>
      </x:c>
      <x:c r="K33" s="7">
        <x:f>IFERROR(E33/G33,"")</x:f>
        <x:v>2</x:v>
      </x:c>
      <x:c r="L33" s="7">
        <x:f>IFERROR(F33/H33,"")</x:f>
        <x:v>2</x:v>
      </x:c>
      <x:c r="M33" s="8">
        <x:f>IF(K33="","",(K33-1))</x:f>
        <x:v>1</x:v>
      </x:c>
      <x:c r="N33" s="8">
        <x:f>IF(L33="","",(L33-1))</x:f>
        <x:v>1</x:v>
      </x:c>
      <x:c r="O33" s="6">
        <x:f>IF(I33="","",I33*$B$2)</x:f>
        <x:v>0.22999999999999998</x:v>
      </x:c>
      <x:c r="P33" s="6">
        <x:f>IF(J33="","",J33*$B$3)</x:f>
        <x:v>1.25</x:v>
      </x:c>
      <x:c r="Q33" s="8">
        <x:f>IF(O33="","",(O33/C33-1))</x:f>
        <x:v>0.1499999999999999</x:v>
      </x:c>
      <x:c r="R33" s="8">
        <x:f>IF(P33="","",(P33/D33-1))</x:f>
        <x:v>0.25</x:v>
      </x:c>
      <x:c r="S33" s="4" t="inlineStr">
        <x:is>
          <x:t xml:space="preserve">https://www.anthropic.com/api</x:t>
        </x:is>
      </x:c>
    </x:row>
    <x:row r="34">
      <x:c r="A34" s="4" t="inlineStr">
        <x:is>
          <x:t xml:space="preserve">Claude Sonnet 4.5</x:t>
        </x:is>
      </x:c>
      <x:c r="B34" s="5" t="inlineStr">
        <x:is>
          <x:t xml:space="preserve">Anthropic</x:t>
        </x:is>
      </x:c>
      <x:c r="C34" s="6" t="n">
        <x:v>1.2</x:v>
      </x:c>
      <x:c r="D34" s="6" t="n">
        <x:v>6</x:v>
      </x:c>
      <x:c r="E34" s="7">
        <x:f>C34*1000/$B$1</x:f>
        <x:v>12</x:v>
      </x:c>
      <x:c r="F34" s="7">
        <x:f>D34*1000/$B$1</x:f>
        <x:v>60</x:v>
      </x:c>
      <x:c r="G34" s="7" t="n">
        <x:v>3</x:v>
      </x:c>
      <x:c r="H34" s="7" t="n">
        <x:v>15</x:v>
      </x:c>
      <x:c r="I34" s="6">
        <x:f>G34*$B$1/1000</x:f>
        <x:v>0.30000000000000004</x:v>
      </x:c>
      <x:c r="J34" s="6">
        <x:f>H34*$B$1/1000</x:f>
        <x:v>1.5</x:v>
      </x:c>
      <x:c r="K34" s="7">
        <x:f>IFERROR(E34/G34,"")</x:f>
        <x:v>4</x:v>
      </x:c>
      <x:c r="L34" s="7">
        <x:f>IFERROR(F34/H34,"")</x:f>
        <x:v>4</x:v>
      </x:c>
      <x:c r="M34" s="8">
        <x:f>IF(K34="","",(K34-1))</x:f>
        <x:v>3</x:v>
      </x:c>
      <x:c r="N34" s="8">
        <x:f>IF(L34="","",(L34-1))</x:f>
        <x:v>3</x:v>
      </x:c>
      <x:c r="O34" s="6">
        <x:f>IF(I34="","",I34*$B$2)</x:f>
        <x:v>0.6900000000000001</x:v>
      </x:c>
      <x:c r="P34" s="6">
        <x:f>IF(J34="","",J34*$B$3)</x:f>
        <x:v>3.75</x:v>
      </x:c>
      <x:c r="Q34" s="8">
        <x:f>IF(O34="","",(O34/C34-1))</x:f>
        <x:v>-0.42499999999999993</x:v>
      </x:c>
      <x:c r="R34" s="8">
        <x:f>IF(P34="","",(P34/D34-1))</x:f>
        <x:v>-0.375</x:v>
      </x:c>
      <x:c r="S34" s="4" t="inlineStr">
        <x:is>
          <x:t xml:space="preserve">https://www.anthropic.com/api</x:t>
        </x:is>
      </x:c>
    </x:row>
    <x:row r="35">
      <x:c r="A35" s="4" t="inlineStr">
        <x:is>
          <x:t xml:space="preserve">Claude 4 Sonnet</x:t>
        </x:is>
      </x:c>
      <x:c r="B35" s="5" t="inlineStr">
        <x:is>
          <x:t xml:space="preserve">Anthropic</x:t>
        </x:is>
      </x:c>
      <x:c r="C35" s="6" t="n">
        <x:v>1.08</x:v>
      </x:c>
      <x:c r="D35" s="6" t="n">
        <x:v>5.4</x:v>
      </x:c>
      <x:c r="E35" s="7">
        <x:f>C35*1000/$B$1</x:f>
        <x:v>10.8</x:v>
      </x:c>
      <x:c r="F35" s="7">
        <x:f>D35*1000/$B$1</x:f>
        <x:v>54</x:v>
      </x:c>
      <x:c r="G35" s="7" t="n">
        <x:v>3</x:v>
      </x:c>
      <x:c r="H35" s="7" t="n">
        <x:v>15</x:v>
      </x:c>
      <x:c r="I35" s="6">
        <x:f>G35*$B$1/1000</x:f>
        <x:v>0.30000000000000004</x:v>
      </x:c>
      <x:c r="J35" s="6">
        <x:f>H35*$B$1/1000</x:f>
        <x:v>1.5</x:v>
      </x:c>
      <x:c r="K35" s="7">
        <x:f>IFERROR(E35/G35,"")</x:f>
        <x:v>3.6</x:v>
      </x:c>
      <x:c r="L35" s="7">
        <x:f>IFERROR(F35/H35,"")</x:f>
        <x:v>3.6</x:v>
      </x:c>
      <x:c r="M35" s="8">
        <x:f>IF(K35="","",(K35-1))</x:f>
        <x:v>2.6</x:v>
      </x:c>
      <x:c r="N35" s="8">
        <x:f>IF(L35="","",(L35-1))</x:f>
        <x:v>2.6</x:v>
      </x:c>
      <x:c r="O35" s="6">
        <x:f>IF(I35="","",I35*$B$2)</x:f>
        <x:v>0.6900000000000001</x:v>
      </x:c>
      <x:c r="P35" s="6">
        <x:f>IF(J35="","",J35*$B$3)</x:f>
        <x:v>3.75</x:v>
      </x:c>
      <x:c r="Q35" s="8">
        <x:f>IF(O35="","",(O35/C35-1))</x:f>
        <x:v>-0.36111111111111105</x:v>
      </x:c>
      <x:c r="R35" s="8">
        <x:f>IF(P35="","",(P35/D35-1))</x:f>
        <x:v>-0.3055555555555556</x:v>
      </x:c>
      <x:c r="S35" s="4" t="inlineStr">
        <x:is>
          <x:t xml:space="preserve">https://www.anthropic.com/api</x:t>
        </x:is>
      </x:c>
    </x:row>
    <x:row r="36">
      <x:c r="A36" s="4" t="inlineStr">
        <x:is>
          <x:t xml:space="preserve">Claude 4 Opus</x:t>
        </x:is>
      </x:c>
      <x:c r="B36" s="5" t="inlineStr">
        <x:is>
          <x:t xml:space="preserve">Anthropic</x:t>
        </x:is>
      </x:c>
      <x:c r="C36" s="6" t="n">
        <x:v>3.75</x:v>
      </x:c>
      <x:c r="D36" s="6" t="n">
        <x:v>18.75</x:v>
      </x:c>
      <x:c r="E36" s="7">
        <x:f>C36*1000/$B$1</x:f>
        <x:v>37.5</x:v>
      </x:c>
      <x:c r="F36" s="7">
        <x:f>D36*1000/$B$1</x:f>
        <x:v>187.5</x:v>
      </x:c>
      <x:c r="G36" s="7" t="n">
        <x:v>15</x:v>
      </x:c>
      <x:c r="H36" s="7" t="n">
        <x:v>75</x:v>
      </x:c>
      <x:c r="I36" s="6">
        <x:f>G36*$B$1/1000</x:f>
        <x:v>1.5</x:v>
      </x:c>
      <x:c r="J36" s="6">
        <x:f>H36*$B$1/1000</x:f>
        <x:v>7.5</x:v>
      </x:c>
      <x:c r="K36" s="7">
        <x:f>IFERROR(E36/G36,"")</x:f>
        <x:v>2.5</x:v>
      </x:c>
      <x:c r="L36" s="7">
        <x:f>IFERROR(F36/H36,"")</x:f>
        <x:v>2.5</x:v>
      </x:c>
      <x:c r="M36" s="8">
        <x:f>IF(K36="","",(K36-1))</x:f>
        <x:v>1.5</x:v>
      </x:c>
      <x:c r="N36" s="8">
        <x:f>IF(L36="","",(L36-1))</x:f>
        <x:v>1.5</x:v>
      </x:c>
      <x:c r="O36" s="6">
        <x:f>IF(I36="","",I36*$B$2)</x:f>
        <x:v>3.4499999999999997</x:v>
      </x:c>
      <x:c r="P36" s="6">
        <x:f>IF(J36="","",J36*$B$3)</x:f>
        <x:v>18.75</x:v>
      </x:c>
      <x:c r="Q36" s="8">
        <x:f>IF(O36="","",(O36/C36-1))</x:f>
        <x:v>-0.08000000000000007</x:v>
      </x:c>
      <x:c r="R36" s="8">
        <x:f>IF(P36="","",(P36/D36-1))</x:f>
        <x:v>0</x:v>
      </x:c>
      <x:c r="S36" s="4" t="inlineStr">
        <x:is>
          <x:t xml:space="preserve">https://www.anthropic.com/api</x:t>
        </x:is>
      </x:c>
    </x:row>
    <x:row r="37">
      <x:c r="A37" s="4" t="inlineStr">
        <x:is>
          <x:t xml:space="preserve">Claude 3.7 Sonnet</x:t>
        </x:is>
      </x:c>
      <x:c r="B37" s="5" t="inlineStr">
        <x:is>
          <x:t xml:space="preserve">Anthropic</x:t>
        </x:is>
      </x:c>
      <x:c r="C37" s="6" t="n">
        <x:v>0.9</x:v>
      </x:c>
      <x:c r="D37" s="6" t="n">
        <x:v>4.5</x:v>
      </x:c>
      <x:c r="E37" s="7">
        <x:f>C37*1000/$B$1</x:f>
        <x:v>9</x:v>
      </x:c>
      <x:c r="F37" s="7">
        <x:f>D37*1000/$B$1</x:f>
        <x:v>45</x:v>
      </x:c>
      <x:c r="G37" s="7" t="n">
        <x:v>3</x:v>
      </x:c>
      <x:c r="H37" s="7" t="n">
        <x:v>15</x:v>
      </x:c>
      <x:c r="I37" s="6">
        <x:f>G37*$B$1/1000</x:f>
        <x:v>0.30000000000000004</x:v>
      </x:c>
      <x:c r="J37" s="6">
        <x:f>H37*$B$1/1000</x:f>
        <x:v>1.5</x:v>
      </x:c>
      <x:c r="K37" s="7">
        <x:f>IFERROR(E37/G37,"")</x:f>
        <x:v>3</x:v>
      </x:c>
      <x:c r="L37" s="7">
        <x:f>IFERROR(F37/H37,"")</x:f>
        <x:v>3</x:v>
      </x:c>
      <x:c r="M37" s="8">
        <x:f>IF(K37="","",(K37-1))</x:f>
        <x:v>2</x:v>
      </x:c>
      <x:c r="N37" s="8">
        <x:f>IF(L37="","",(L37-1))</x:f>
        <x:v>2</x:v>
      </x:c>
      <x:c r="O37" s="6">
        <x:f>IF(I37="","",I37*$B$2)</x:f>
        <x:v>0.6900000000000001</x:v>
      </x:c>
      <x:c r="P37" s="6">
        <x:f>IF(J37="","",J37*$B$3)</x:f>
        <x:v>3.75</x:v>
      </x:c>
      <x:c r="Q37" s="8">
        <x:f>IF(O37="","",(O37/C37-1))</x:f>
        <x:v>-0.23333333333333328</x:v>
      </x:c>
      <x:c r="R37" s="8">
        <x:f>IF(P37="","",(P37/D37-1))</x:f>
        <x:v>-0.16666666666666663</x:v>
      </x:c>
      <x:c r="S37" s="4" t="inlineStr">
        <x:is>
          <x:t xml:space="preserve">https://www.anthropic.com/api</x:t>
        </x:is>
      </x:c>
    </x:row>
    <x:row r="38">
      <x:c r="A38" s="4" t="inlineStr">
        <x:is>
          <x:t xml:space="preserve">Cohere Command R</x:t>
        </x:is>
      </x:c>
      <x:c r="B38" s="5" t="inlineStr">
        <x:is>
          <x:t xml:space="preserve">Cohere</x:t>
        </x:is>
      </x:c>
      <x:c r="C38" s="6" t="n">
        <x:v>0.09</x:v>
      </x:c>
      <x:c r="D38" s="6" t="n">
        <x:v>0.36</x:v>
      </x:c>
      <x:c r="E38" s="7">
        <x:f>C38*1000/$B$1</x:f>
        <x:v>0.8999999999999999</x:v>
      </x:c>
      <x:c r="F38" s="7">
        <x:f>D38*1000/$B$1</x:f>
        <x:v>3.5999999999999996</x:v>
      </x:c>
      <x:c r="G38" s="7" t="n">
        <x:v>0.5</x:v>
      </x:c>
      <x:c r="H38" s="7" t="n">
        <x:v>1.5</x:v>
      </x:c>
      <x:c r="I38" s="6">
        <x:f>G38*$B$1/1000</x:f>
        <x:v>0.05</x:v>
      </x:c>
      <x:c r="J38" s="6">
        <x:f>H38*$B$1/1000</x:f>
        <x:v>0.15000000000000002</x:v>
      </x:c>
      <x:c r="K38" s="7">
        <x:f>IFERROR(E38/G38,"")</x:f>
        <x:v>1.7999999999999998</x:v>
      </x:c>
      <x:c r="L38" s="7">
        <x:f>IFERROR(F38/H38,"")</x:f>
        <x:v>2.4</x:v>
      </x:c>
      <x:c r="M38" s="8">
        <x:f>IF(K38="","",(K38-1))</x:f>
        <x:v>0.7999999999999998</x:v>
      </x:c>
      <x:c r="N38" s="8">
        <x:f>IF(L38="","",(L38-1))</x:f>
        <x:v>1.4</x:v>
      </x:c>
      <x:c r="O38" s="6">
        <x:f>IF(I38="","",I38*$B$2)</x:f>
        <x:v>0.11499999999999999</x:v>
      </x:c>
      <x:c r="P38" s="6">
        <x:f>IF(J38="","",J38*$B$3)</x:f>
        <x:v>0.37500000000000006</x:v>
      </x:c>
      <x:c r="Q38" s="8">
        <x:f>IF(O38="","",(O38/C38-1))</x:f>
        <x:v>0.2777777777777777</x:v>
      </x:c>
      <x:c r="R38" s="8">
        <x:f>IF(P38="","",(P38/D38-1))</x:f>
        <x:v>0.04166666666666696</x:v>
      </x:c>
      <x:c r="S38" s="4" t="inlineStr">
        <x:is>
          <x:t xml:space="preserve">https://cohere.com/pricing</x:t>
        </x:is>
      </x:c>
    </x:row>
    <x:row r="39">
      <x:c r="A39" s="4" t="inlineStr">
        <x:is>
          <x:t xml:space="preserve">Cohere Command R+</x:t>
        </x:is>
      </x:c>
      <x:c r="B39" s="5" t="inlineStr">
        <x:is>
          <x:t xml:space="preserve">Cohere</x:t>
        </x:is>
      </x:c>
      <x:c r="C39" s="6" t="n">
        <x:v>1.5</x:v>
      </x:c>
      <x:c r="D39" s="6" t="n">
        <x:v>6</x:v>
      </x:c>
      <x:c r="E39" s="7">
        <x:f>C39*1000/$B$1</x:f>
        <x:v>15</x:v>
      </x:c>
      <x:c r="F39" s="7">
        <x:f>D39*1000/$B$1</x:f>
        <x:v>60</x:v>
      </x:c>
      <x:c r="G39" s="7" t="n">
        <x:v>2.5</x:v>
      </x:c>
      <x:c r="H39" s="7" t="n">
        <x:v>10</x:v>
      </x:c>
      <x:c r="I39" s="6">
        <x:f>G39*$B$1/1000</x:f>
        <x:v>0.25</x:v>
      </x:c>
      <x:c r="J39" s="6">
        <x:f>H39*$B$1/1000</x:f>
        <x:v>1</x:v>
      </x:c>
      <x:c r="K39" s="7">
        <x:f>IFERROR(E39/G39,"")</x:f>
        <x:v>6</x:v>
      </x:c>
      <x:c r="L39" s="7">
        <x:f>IFERROR(F39/H39,"")</x:f>
        <x:v>6</x:v>
      </x:c>
      <x:c r="M39" s="8">
        <x:f>IF(K39="","",(K39-1))</x:f>
        <x:v>5</x:v>
      </x:c>
      <x:c r="N39" s="8">
        <x:f>IF(L39="","",(L39-1))</x:f>
        <x:v>5</x:v>
      </x:c>
      <x:c r="O39" s="6">
        <x:f>IF(I39="","",I39*$B$2)</x:f>
        <x:v>0.575</x:v>
      </x:c>
      <x:c r="P39" s="6">
        <x:f>IF(J39="","",J39*$B$3)</x:f>
        <x:v>2.5</x:v>
      </x:c>
      <x:c r="Q39" s="8">
        <x:f>IF(O39="","",(O39/C39-1))</x:f>
        <x:v>-0.6166666666666667</x:v>
      </x:c>
      <x:c r="R39" s="8">
        <x:f>IF(P39="","",(P39/D39-1))</x:f>
        <x:v>-0.5833333333333333</x:v>
      </x:c>
      <x:c r="S39" s="4" t="inlineStr">
        <x:is>
          <x:t xml:space="preserve">https://cohere.com/pricing</x:t>
        </x:is>
      </x:c>
    </x:row>
    <x:row r="40">
      <x:c r="A40" s="4" t="inlineStr">
        <x:is>
          <x:t xml:space="preserve">Sonar Deep Research</x:t>
        </x:is>
      </x:c>
      <x:c r="B40" s="5" t="inlineStr">
        <x:is>
          <x:t xml:space="preserve">Perplexity</x:t>
        </x:is>
      </x:c>
      <x:c r="C40" s="6" t="n">
        <x:v>0.6</x:v>
      </x:c>
      <x:c r="D40" s="6" t="n">
        <x:v>2.7</x:v>
      </x:c>
      <x:c r="E40" s="7">
        <x:f>C40*1000/$B$1</x:f>
        <x:v>6</x:v>
      </x:c>
      <x:c r="F40" s="7">
        <x:f>D40*1000/$B$1</x:f>
        <x:v>27</x:v>
      </x:c>
      <x:c r="G40" s="7" t="n">
        <x:v>2</x:v>
      </x:c>
      <x:c r="H40" s="7" t="n">
        <x:v>8</x:v>
      </x:c>
      <x:c r="I40" s="6">
        <x:f>G40*$B$1/1000</x:f>
        <x:v>0.2</x:v>
      </x:c>
      <x:c r="J40" s="6">
        <x:f>H40*$B$1/1000</x:f>
        <x:v>0.8</x:v>
      </x:c>
      <x:c r="K40" s="7">
        <x:f>IFERROR(E40/G40,"")</x:f>
        <x:v>3</x:v>
      </x:c>
      <x:c r="L40" s="7">
        <x:f>IFERROR(F40/H40,"")</x:f>
        <x:v>3.375</x:v>
      </x:c>
      <x:c r="M40" s="8">
        <x:f>IF(K40="","",(K40-1))</x:f>
        <x:v>2</x:v>
      </x:c>
      <x:c r="N40" s="8">
        <x:f>IF(L40="","",(L40-1))</x:f>
        <x:v>2.375</x:v>
      </x:c>
      <x:c r="O40" s="6">
        <x:f>IF(I40="","",I40*$B$2)</x:f>
        <x:v>0.45999999999999996</x:v>
      </x:c>
      <x:c r="P40" s="6">
        <x:f>IF(J40="","",J40*$B$3)</x:f>
        <x:v>2</x:v>
      </x:c>
      <x:c r="Q40" s="8">
        <x:f>IF(O40="","",(O40/C40-1))</x:f>
        <x:v>-0.2333333333333334</x:v>
      </x:c>
      <x:c r="R40" s="8">
        <x:f>IF(P40="","",(P40/D40-1))</x:f>
        <x:v>-0.2592592592592593</x:v>
      </x:c>
      <x:c r="S40" s="4" t="inlineStr">
        <x:is>
          <x:t xml:space="preserve">https://docs.perplexity.ai/guides/pricing</x:t>
        </x:is>
      </x:c>
    </x:row>
    <x:row r="41">
      <x:c r="A41" s="4" t="inlineStr">
        <x:is>
          <x:t xml:space="preserve">Sonar Pro</x:t>
        </x:is>
      </x:c>
      <x:c r="B41" s="5" t="inlineStr">
        <x:is>
          <x:t xml:space="preserve">Perplexity</x:t>
        </x:is>
      </x:c>
      <x:c r="C41" s="6" t="n">
        <x:v>0.9</x:v>
      </x:c>
      <x:c r="D41" s="6" t="n">
        <x:v>4.5</x:v>
      </x:c>
      <x:c r="E41" s="7">
        <x:f>C41*1000/$B$1</x:f>
        <x:v>9</x:v>
      </x:c>
      <x:c r="F41" s="7">
        <x:f>D41*1000/$B$1</x:f>
        <x:v>45</x:v>
      </x:c>
      <x:c r="G41" s="7" t="n">
        <x:v>3</x:v>
      </x:c>
      <x:c r="H41" s="7" t="n">
        <x:v>15</x:v>
      </x:c>
      <x:c r="I41" s="6">
        <x:f>G41*$B$1/1000</x:f>
        <x:v>0.30000000000000004</x:v>
      </x:c>
      <x:c r="J41" s="6">
        <x:f>H41*$B$1/1000</x:f>
        <x:v>1.5</x:v>
      </x:c>
      <x:c r="K41" s="7">
        <x:f>IFERROR(E41/G41,"")</x:f>
        <x:v>3</x:v>
      </x:c>
      <x:c r="L41" s="7">
        <x:f>IFERROR(F41/H41,"")</x:f>
        <x:v>3</x:v>
      </x:c>
      <x:c r="M41" s="8">
        <x:f>IF(K41="","",(K41-1))</x:f>
        <x:v>2</x:v>
      </x:c>
      <x:c r="N41" s="8">
        <x:f>IF(L41="","",(L41-1))</x:f>
        <x:v>2</x:v>
      </x:c>
      <x:c r="O41" s="6">
        <x:f>IF(I41="","",I41*$B$2)</x:f>
        <x:v>0.6900000000000001</x:v>
      </x:c>
      <x:c r="P41" s="6">
        <x:f>IF(J41="","",J41*$B$3)</x:f>
        <x:v>3.75</x:v>
      </x:c>
      <x:c r="Q41" s="8">
        <x:f>IF(O41="","",(O41/C41-1))</x:f>
        <x:v>-0.23333333333333328</x:v>
      </x:c>
      <x:c r="R41" s="8">
        <x:f>IF(P41="","",(P41/D41-1))</x:f>
        <x:v>-0.16666666666666663</x:v>
      </x:c>
      <x:c r="S41" s="4" t="inlineStr">
        <x:is>
          <x:t xml:space="preserve">https://docs.perplexity.ai/guides/pricing</x:t>
        </x:is>
      </x:c>
    </x:row>
    <x:row r="42">
      <x:c r="A42" s="4" t="inlineStr">
        <x:is>
          <x:t xml:space="preserve">Mistral 3 Medium</x:t>
        </x:is>
      </x:c>
      <x:c r="B42" s="5" t="inlineStr">
        <x:is>
          <x:t xml:space="preserve">Mistral</x:t>
        </x:is>
      </x:c>
      <x:c r="C42" s="6" t="n">
        <x:v>0.16</x:v>
      </x:c>
      <x:c r="D42" s="6" t="n">
        <x:v>0.8</x:v>
      </x:c>
      <x:c r="E42" s="7">
        <x:f>C42*1000/$B$1</x:f>
        <x:v>1.6</x:v>
      </x:c>
      <x:c r="F42" s="7">
        <x:f>D42*1000/$B$1</x:f>
        <x:v>8</x:v>
      </x:c>
      <x:c r="G42" s="7" t="n">
        <x:v>0.4</x:v>
      </x:c>
      <x:c r="H42" s="7" t="n">
        <x:v>2</x:v>
      </x:c>
      <x:c r="I42" s="6">
        <x:f>G42*$B$1/1000</x:f>
        <x:v>0.04000000000000001</x:v>
      </x:c>
      <x:c r="J42" s="6">
        <x:f>H42*$B$1/1000</x:f>
        <x:v>0.2</x:v>
      </x:c>
      <x:c r="K42" s="7">
        <x:f>IFERROR(E42/G42,"")</x:f>
        <x:v>4</x:v>
      </x:c>
      <x:c r="L42" s="7">
        <x:f>IFERROR(F42/H42,"")</x:f>
        <x:v>4</x:v>
      </x:c>
      <x:c r="M42" s="8">
        <x:f>IF(K42="","",(K42-1))</x:f>
        <x:v>3</x:v>
      </x:c>
      <x:c r="N42" s="8">
        <x:f>IF(L42="","",(L42-1))</x:f>
        <x:v>3</x:v>
      </x:c>
      <x:c r="O42" s="6">
        <x:f>IF(I42="","",I42*$B$2)</x:f>
        <x:v>0.09200000000000001</x:v>
      </x:c>
      <x:c r="P42" s="6">
        <x:f>IF(J42="","",J42*$B$3)</x:f>
        <x:v>0.5</x:v>
      </x:c>
      <x:c r="Q42" s="8">
        <x:f>IF(O42="","",(O42/C42-1))</x:f>
        <x:v>-0.42499999999999993</x:v>
      </x:c>
      <x:c r="R42" s="8">
        <x:f>IF(P42="","",(P42/D42-1))</x:f>
        <x:v>-0.375</x:v>
      </x:c>
      <x:c r="S42" s="4" t="inlineStr">
        <x:is>
          <x:t xml:space="preserve">https://mistral.ai/news/ai-in-abundance</x:t>
        </x:is>
      </x:c>
    </x:row>
    <x:row r="43">
      <x:c r="A43" s="4" t="inlineStr">
        <x:is>
          <x:t xml:space="preserve">Mistral Large</x:t>
        </x:is>
      </x:c>
      <x:c r="B43" s="5" t="inlineStr">
        <x:is>
          <x:t xml:space="preserve">Mistral</x:t>
        </x:is>
      </x:c>
      <x:c r="C43" s="6" t="n">
        <x:v>1</x:v>
      </x:c>
      <x:c r="D43" s="6" t="n">
        <x:v>2.4</x:v>
      </x:c>
      <x:c r="E43" s="7">
        <x:f>C43*1000/$B$1</x:f>
        <x:v>10</x:v>
      </x:c>
      <x:c r="F43" s="7">
        <x:f>D43*1000/$B$1</x:f>
        <x:v>24</x:v>
      </x:c>
      <x:c r="G43" s="7" t="n">
        <x:v>2</x:v>
      </x:c>
      <x:c r="H43" s="7" t="n">
        <x:v>6</x:v>
      </x:c>
      <x:c r="I43" s="6">
        <x:f>G43*$B$1/1000</x:f>
        <x:v>0.2</x:v>
      </x:c>
      <x:c r="J43" s="6">
        <x:f>H43*$B$1/1000</x:f>
        <x:v>0.6000000000000001</x:v>
      </x:c>
      <x:c r="K43" s="7">
        <x:f>IFERROR(E43/G43,"")</x:f>
        <x:v>5</x:v>
      </x:c>
      <x:c r="L43" s="7">
        <x:f>IFERROR(F43/H43,"")</x:f>
        <x:v>4</x:v>
      </x:c>
      <x:c r="M43" s="8">
        <x:f>IF(K43="","",(K43-1))</x:f>
        <x:v>4</x:v>
      </x:c>
      <x:c r="N43" s="8">
        <x:f>IF(L43="","",(L43-1))</x:f>
        <x:v>3</x:v>
      </x:c>
      <x:c r="O43" s="6">
        <x:f>IF(I43="","",I43*$B$2)</x:f>
        <x:v>0.45999999999999996</x:v>
      </x:c>
      <x:c r="P43" s="6">
        <x:f>IF(J43="","",J43*$B$3)</x:f>
        <x:v>1.5000000000000002</x:v>
      </x:c>
      <x:c r="Q43" s="8">
        <x:f>IF(O43="","",(O43/C43-1))</x:f>
        <x:v>-0.54</x:v>
      </x:c>
      <x:c r="R43" s="8">
        <x:f>IF(P43="","",(P43/D43-1))</x:f>
        <x:v>-0.3749999999999999</x:v>
      </x:c>
      <x:c r="S43" s="4" t="inlineStr">
        <x:is>
          <x:t xml:space="preserve">https://mistral.ai/news/ai-in-abundance</x:t>
        </x:is>
      </x:c>
    </x:row>
    <x:row r="44">
      <x:c r="A44" s="4" t="inlineStr">
        <x:is>
          <x:t xml:space="preserve">Mistral Small</x:t>
        </x:is>
      </x:c>
      <x:c r="B44" s="5" t="inlineStr">
        <x:is>
          <x:t xml:space="preserve">Mistral</x:t>
        </x:is>
      </x:c>
      <x:c r="C44" s="6" t="n">
        <x:v>0.05</x:v>
      </x:c>
      <x:c r="D44" s="6" t="n">
        <x:v>0.1</x:v>
      </x:c>
      <x:c r="E44" s="7">
        <x:f>C44*1000/$B$1</x:f>
        <x:v>0.5</x:v>
      </x:c>
      <x:c r="F44" s="7">
        <x:f>D44*1000/$B$1</x:f>
        <x:v>1</x:v>
      </x:c>
      <x:c r="G44" s="7" t="n">
        <x:v>0.2</x:v>
      </x:c>
      <x:c r="H44" s="7" t="n">
        <x:v>0.6</x:v>
      </x:c>
      <x:c r="I44" s="6">
        <x:f>G44*$B$1/1000</x:f>
        <x:v>0.020000000000000004</x:v>
      </x:c>
      <x:c r="J44" s="6">
        <x:f>H44*$B$1/1000</x:f>
        <x:v>0.06</x:v>
      </x:c>
      <x:c r="K44" s="7">
        <x:f>IFERROR(E44/G44,"")</x:f>
        <x:v>2.5</x:v>
      </x:c>
      <x:c r="L44" s="7">
        <x:f>IFERROR(F44/H44,"")</x:f>
        <x:v>1.6666666666666667</x:v>
      </x:c>
      <x:c r="M44" s="8">
        <x:f>IF(K44="","",(K44-1))</x:f>
        <x:v>1.5</x:v>
      </x:c>
      <x:c r="N44" s="8">
        <x:f>IF(L44="","",(L44-1))</x:f>
        <x:v>0.6666666666666667</x:v>
      </x:c>
      <x:c r="O44" s="6">
        <x:f>IF(I44="","",I44*$B$2)</x:f>
        <x:v>0.046000000000000006</x:v>
      </x:c>
      <x:c r="P44" s="6">
        <x:f>IF(J44="","",J44*$B$3)</x:f>
        <x:v>0.15</x:v>
      </x:c>
      <x:c r="Q44" s="8">
        <x:f>IF(O44="","",(O44/C44-1))</x:f>
        <x:v>-0.07999999999999996</x:v>
      </x:c>
      <x:c r="R44" s="8">
        <x:f>IF(P44="","",(P44/D44-1))</x:f>
        <x:v>0.4999999999999998</x:v>
      </x:c>
      <x:c r="S44" s="4" t="inlineStr">
        <x:is>
          <x:t xml:space="preserve">https://mistral.ai/news/ai-in-abundance</x:t>
        </x:is>
      </x:c>
    </x:row>
    <x:row r="45">
      <x:c r="A45" s="4" t="inlineStr">
        <x:is>
          <x:t xml:space="preserve">Pixtral 12B</x:t>
        </x:is>
      </x:c>
      <x:c r="B45" s="5" t="inlineStr">
        <x:is>
          <x:t xml:space="preserve">Mistral</x:t>
        </x:is>
      </x:c>
      <x:c r="C45" s="6" t="n">
        <x:v>0.12</x:v>
      </x:c>
      <x:c r="D45" s="6" t="n">
        <x:v>0.12</x:v>
      </x:c>
      <x:c r="E45" s="7">
        <x:f>C45*1000/$B$1</x:f>
        <x:v>1.2</x:v>
      </x:c>
      <x:c r="F45" s="7">
        <x:f>D45*1000/$B$1</x:f>
        <x:v>1.2</x:v>
      </x:c>
      <x:c r="G45" s="7" t="n">
        <x:v>0.15</x:v>
      </x:c>
      <x:c r="H45" s="7" t="n">
        <x:v>0.15</x:v>
      </x:c>
      <x:c r="I45" s="6">
        <x:f>G45*$B$1/1000</x:f>
        <x:v>0.015</x:v>
      </x:c>
      <x:c r="J45" s="6">
        <x:f>H45*$B$1/1000</x:f>
        <x:v>0.015</x:v>
      </x:c>
      <x:c r="K45" s="7">
        <x:f>IFERROR(E45/G45,"")</x:f>
        <x:v>8</x:v>
      </x:c>
      <x:c r="L45" s="7">
        <x:f>IFERROR(F45/H45,"")</x:f>
        <x:v>8</x:v>
      </x:c>
      <x:c r="M45" s="8">
        <x:f>IF(K45="","",(K45-1))</x:f>
        <x:v>7</x:v>
      </x:c>
      <x:c r="N45" s="8">
        <x:f>IF(L45="","",(L45-1))</x:f>
        <x:v>7</x:v>
      </x:c>
      <x:c r="O45" s="6">
        <x:f>IF(I45="","",I45*$B$2)</x:f>
        <x:v>0.034499999999999996</x:v>
      </x:c>
      <x:c r="P45" s="6">
        <x:f>IF(J45="","",J45*$B$3)</x:f>
        <x:v>0.0375</x:v>
      </x:c>
      <x:c r="Q45" s="8">
        <x:f>IF(O45="","",(O45/C45-1))</x:f>
        <x:v>-0.7125</x:v>
      </x:c>
      <x:c r="R45" s="8">
        <x:f>IF(P45="","",(P45/D45-1))</x:f>
        <x:v>-0.6875</x:v>
      </x:c>
      <x:c r="S45" s="4" t="inlineStr">
        <x:is>
          <x:t xml:space="preserve">https://mistral.ai/news/ai-in-abundance</x:t>
        </x:is>
      </x:c>
    </x:row>
    <x:row r="46">
      <x:c r="A46" s="4" t="inlineStr">
        <x:is>
          <x:t xml:space="preserve">Gemini 3 Pro Preview</x:t>
        </x:is>
      </x:c>
      <x:c r="B46" s="5" t="inlineStr">
        <x:is>
          <x:t xml:space="preserve">Google</x:t>
        </x:is>
      </x:c>
      <x:c r="C46" s="6" t="n">
        <x:v>0.6</x:v>
      </x:c>
      <x:c r="D46" s="6" t="n">
        <x:v>3</x:v>
      </x:c>
      <x:c r="E46" s="7">
        <x:f>C46*1000/$B$1</x:f>
        <x:v>6</x:v>
      </x:c>
      <x:c r="F46" s="7">
        <x:f>D46*1000/$B$1</x:f>
        <x:v>30</x:v>
      </x:c>
      <x:c r="G46" s="7" t="n">
        <x:v>1</x:v>
      </x:c>
      <x:c r="H46" s="7" t="n">
        <x:v>6</x:v>
      </x:c>
      <x:c r="I46" s="6">
        <x:f>G46*$B$1/1000</x:f>
        <x:v>0.1</x:v>
      </x:c>
      <x:c r="J46" s="6">
        <x:f>H46*$B$1/1000</x:f>
        <x:v>0.6000000000000001</x:v>
      </x:c>
      <x:c r="K46" s="7">
        <x:f>IFERROR(E46/G46,"")</x:f>
        <x:v>6</x:v>
      </x:c>
      <x:c r="L46" s="7">
        <x:f>IFERROR(F46/H46,"")</x:f>
        <x:v>5</x:v>
      </x:c>
      <x:c r="M46" s="8">
        <x:f>IF(K46="","",(K46-1))</x:f>
        <x:v>5</x:v>
      </x:c>
      <x:c r="N46" s="8">
        <x:f>IF(L46="","",(L46-1))</x:f>
        <x:v>4</x:v>
      </x:c>
      <x:c r="O46" s="6">
        <x:f>IF(I46="","",I46*$B$2)</x:f>
        <x:v>0.22999999999999998</x:v>
      </x:c>
      <x:c r="P46" s="6">
        <x:f>IF(J46="","",J46*$B$3)</x:f>
        <x:v>1.5000000000000002</x:v>
      </x:c>
      <x:c r="Q46" s="8">
        <x:f>IF(O46="","",(O46/C46-1))</x:f>
        <x:v>-0.6166666666666667</x:v>
      </x:c>
      <x:c r="R46" s="8">
        <x:f>IF(P46="","",(P46/D46-1))</x:f>
        <x:v>-0.4999999999999999</x:v>
      </x:c>
      <x:c r="S46" s="4" t="inlineStr">
        <x:is>
          <x:t xml:space="preserve">https://ai.google.dev/gemini-api/docs/pricing</x:t>
        </x:is>
      </x:c>
    </x:row>
    <x:row r="47">
      <x:c r="A47" s="4" t="inlineStr">
        <x:is>
          <x:t xml:space="preserve">Gemini 3 Flash</x:t>
        </x:is>
      </x:c>
      <x:c r="B47" s="5" t="inlineStr">
        <x:is>
          <x:t xml:space="preserve">Google</x:t>
        </x:is>
      </x:c>
      <x:c r="C47" s="6" t="n">
        <x:v>0.001</x:v>
      </x:c>
      <x:c r="D47" s="6" t="n">
        <x:v>0.006</x:v>
      </x:c>
      <x:c r="E47" s="7">
        <x:f>C47*1000/$B$1</x:f>
        <x:v>0.01</x:v>
      </x:c>
      <x:c r="F47" s="7">
        <x:f>D47*1000/$B$1</x:f>
        <x:v>0.06</x:v>
      </x:c>
      <x:c r="G47" s="7" t="n">
        <x:v>0.5</x:v>
      </x:c>
      <x:c r="H47" s="7" t="n">
        <x:v>3</x:v>
      </x:c>
      <x:c r="I47" s="6">
        <x:f>G47*$B$1/1000</x:f>
        <x:v>0.05</x:v>
      </x:c>
      <x:c r="J47" s="6">
        <x:f>H47*$B$1/1000</x:f>
        <x:v>0.30000000000000004</x:v>
      </x:c>
      <x:c r="K47" s="7">
        <x:f>IFERROR(E47/G47,"")</x:f>
        <x:v>0.02</x:v>
      </x:c>
      <x:c r="L47" s="7">
        <x:f>IFERROR(F47/H47,"")</x:f>
        <x:v>0.02</x:v>
      </x:c>
      <x:c r="M47" s="8">
        <x:f>IF(K47="","",(K47-1))</x:f>
        <x:v>-0.98</x:v>
      </x:c>
      <x:c r="N47" s="8">
        <x:f>IF(L47="","",(L47-1))</x:f>
        <x:v>-0.98</x:v>
      </x:c>
      <x:c r="O47" s="6">
        <x:f>IF(I47="","",I47*$B$2)</x:f>
        <x:v>0.11499999999999999</x:v>
      </x:c>
      <x:c r="P47" s="6">
        <x:f>IF(J47="","",J47*$B$3)</x:f>
        <x:v>0.7500000000000001</x:v>
      </x:c>
      <x:c r="Q47" s="8">
        <x:f>IF(O47="","",(O47/C47-1))</x:f>
        <x:v>113.99999999999999</x:v>
      </x:c>
      <x:c r="R47" s="8">
        <x:f>IF(P47="","",(P47/D47-1))</x:f>
        <x:v>124.00000000000001</x:v>
      </x:c>
      <x:c r="S47" s="4" t="inlineStr">
        <x:is>
          <x:t xml:space="preserve">https://ai.google.dev/gemini-api/docs/pricing</x:t>
        </x:is>
      </x:c>
    </x:row>
    <x:row r="48">
      <x:c r="A48" s="4" t="inlineStr">
        <x:is>
          <x:t xml:space="preserve">Gemini 2.5 Pro</x:t>
        </x:is>
      </x:c>
      <x:c r="B48" s="5" t="inlineStr">
        <x:is>
          <x:t xml:space="preserve">Google</x:t>
        </x:is>
      </x:c>
      <x:c r="C48" s="6" t="n">
        <x:v>0.35</x:v>
      </x:c>
      <x:c r="D48" s="6" t="n">
        <x:v>1.5</x:v>
      </x:c>
      <x:c r="E48" s="7">
        <x:f>C48*1000/$B$1</x:f>
        <x:v>3.5</x:v>
      </x:c>
      <x:c r="F48" s="7">
        <x:f>D48*1000/$B$1</x:f>
        <x:v>15</x:v>
      </x:c>
      <x:c r="G48" s="7" t="n">
        <x:v>1.25</x:v>
      </x:c>
      <x:c r="H48" s="7" t="n">
        <x:v>10</x:v>
      </x:c>
      <x:c r="I48" s="6">
        <x:f>G48*$B$1/1000</x:f>
        <x:v>0.125</x:v>
      </x:c>
      <x:c r="J48" s="6">
        <x:f>H48*$B$1/1000</x:f>
        <x:v>1</x:v>
      </x:c>
      <x:c r="K48" s="7">
        <x:f>IFERROR(E48/G48,"")</x:f>
        <x:v>2.8</x:v>
      </x:c>
      <x:c r="L48" s="7">
        <x:f>IFERROR(F48/H48,"")</x:f>
        <x:v>1.5</x:v>
      </x:c>
      <x:c r="M48" s="8">
        <x:f>IF(K48="","",(K48-1))</x:f>
        <x:v>1.7999999999999998</x:v>
      </x:c>
      <x:c r="N48" s="8">
        <x:f>IF(L48="","",(L48-1))</x:f>
        <x:v>0.5</x:v>
      </x:c>
      <x:c r="O48" s="6">
        <x:f>IF(I48="","",I48*$B$2)</x:f>
        <x:v>0.2875</x:v>
      </x:c>
      <x:c r="P48" s="6">
        <x:f>IF(J48="","",J48*$B$3)</x:f>
        <x:v>2.5</x:v>
      </x:c>
      <x:c r="Q48" s="8">
        <x:f>IF(O48="","",(O48/C48-1))</x:f>
        <x:v>-0.1785714285714286</x:v>
      </x:c>
      <x:c r="R48" s="8">
        <x:f>IF(P48="","",(P48/D48-1))</x:f>
        <x:v>0.6666666666666667</x:v>
      </x:c>
      <x:c r="S48" s="4" t="inlineStr">
        <x:is>
          <x:t xml:space="preserve">https://ai.google.dev/gemini-api/docs/pricing</x:t>
        </x:is>
      </x:c>
    </x:row>
    <x:row r="49">
      <x:c r="A49" s="4" t="inlineStr">
        <x:is>
          <x:t xml:space="preserve">Gemini 2.5 Flash</x:t>
        </x:is>
      </x:c>
      <x:c r="B49" s="5" t="inlineStr">
        <x:is>
          <x:t xml:space="preserve">Google</x:t>
        </x:is>
      </x:c>
      <x:c r="C49" s="6" t="n">
        <x:v>0.06</x:v>
      </x:c>
      <x:c r="D49" s="6" t="n">
        <x:v>0.18</x:v>
      </x:c>
      <x:c r="E49" s="7">
        <x:f>C49*1000/$B$1</x:f>
        <x:v>0.6</x:v>
      </x:c>
      <x:c r="F49" s="7">
        <x:f>D49*1000/$B$1</x:f>
        <x:v>1.7999999999999998</x:v>
      </x:c>
      <x:c r="G49" s="7" t="n">
        <x:v>0.3</x:v>
      </x:c>
      <x:c r="H49" s="7" t="n">
        <x:v>2.5</x:v>
      </x:c>
      <x:c r="I49" s="6">
        <x:f>G49*$B$1/1000</x:f>
        <x:v>0.03</x:v>
      </x:c>
      <x:c r="J49" s="6">
        <x:f>H49*$B$1/1000</x:f>
        <x:v>0.25</x:v>
      </x:c>
      <x:c r="K49" s="7">
        <x:f>IFERROR(E49/G49,"")</x:f>
        <x:v>2</x:v>
      </x:c>
      <x:c r="L49" s="7">
        <x:f>IFERROR(F49/H49,"")</x:f>
        <x:v>0.72</x:v>
      </x:c>
      <x:c r="M49" s="8">
        <x:f>IF(K49="","",(K49-1))</x:f>
        <x:v>1</x:v>
      </x:c>
      <x:c r="N49" s="8">
        <x:f>IF(L49="","",(L49-1))</x:f>
        <x:v>-0.28</x:v>
      </x:c>
      <x:c r="O49" s="6">
        <x:f>IF(I49="","",I49*$B$2)</x:f>
        <x:v>0.06899999999999999</x:v>
      </x:c>
      <x:c r="P49" s="6">
        <x:f>IF(J49="","",J49*$B$3)</x:f>
        <x:v>0.625</x:v>
      </x:c>
      <x:c r="Q49" s="8">
        <x:f>IF(O49="","",(O49/C49-1))</x:f>
        <x:v>0.1499999999999999</x:v>
      </x:c>
      <x:c r="R49" s="8">
        <x:f>IF(P49="","",(P49/D49-1))</x:f>
        <x:v>2.4722222222222223</x:v>
      </x:c>
      <x:c r="S49" s="4" t="inlineStr">
        <x:is>
          <x:t xml:space="preserve">https://ai.google.dev/gemini-api/docs/pricing</x:t>
        </x:is>
      </x:c>
    </x:row>
    <x:row r="50">
      <x:c r="A50" s="4" t="inlineStr">
        <x:is>
          <x:t xml:space="preserve">Gemini 2.0 Flash</x:t>
        </x:is>
      </x:c>
      <x:c r="B50" s="5" t="inlineStr">
        <x:is>
          <x:t xml:space="preserve">Google</x:t>
        </x:is>
      </x:c>
      <x:c r="C50" s="6" t="n">
        <x:v>0.1</x:v>
      </x:c>
      <x:c r="D50" s="6" t="n">
        <x:v>0.4</x:v>
      </x:c>
      <x:c r="E50" s="7">
        <x:f>C50*1000/$B$1</x:f>
        <x:v>1</x:v>
      </x:c>
      <x:c r="F50" s="7">
        <x:f>D50*1000/$B$1</x:f>
        <x:v>4</x:v>
      </x:c>
      <x:c r="G50" s="7" t="inlineStr">
        <x:is>
          <x:t xml:space="preserve"/>
        </x:is>
      </x:c>
      <x:c r="H50" s="7" t="inlineStr">
        <x:is>
          <x:t xml:space="preserve"/>
        </x:is>
      </x:c>
      <x:c r="I50" s="6" t="inlineStr">
        <x:is>
          <x:t xml:space="preserve"/>
        </x:is>
      </x:c>
      <x:c r="J50" s="6" t="inlineStr">
        <x:is>
          <x:t xml:space="preserve"/>
        </x:is>
      </x:c>
      <x:c r="K50" s="7" t="inlineStr">
        <x:is>
          <x:t xml:space="preserve"/>
        </x:is>
      </x:c>
      <x:c r="L50" s="7" t="inlineStr">
        <x:is>
          <x:t xml:space="preserve"/>
        </x:is>
      </x:c>
      <x:c r="M50" s="8" t="inlineStr">
        <x:is>
          <x:t xml:space="preserve"/>
        </x:is>
      </x:c>
      <x:c r="N50" s="8" t="inlineStr">
        <x:is>
          <x:t xml:space="preserve"/>
        </x:is>
      </x:c>
      <x:c r="O50" s="6" t="inlineStr">
        <x:is>
          <x:t xml:space="preserve"/>
        </x:is>
      </x:c>
      <x:c r="P50" s="6" t="inlineStr">
        <x:is>
          <x:t xml:space="preserve"/>
        </x:is>
      </x:c>
      <x:c r="Q50" s="8" t="inlineStr">
        <x:is>
          <x:t xml:space="preserve"/>
        </x:is>
      </x:c>
      <x:c r="R50" s="8" t="inlineStr">
        <x:is>
          <x:t xml:space="preserve"/>
        </x:is>
      </x:c>
      <x:c r="S50" s="4" t="inlineStr">
        <x:is>
          <x:t xml:space="preserve">https://ai.google.dev/gemini-api/docs/pricing</x:t>
        </x:is>
      </x:c>
    </x:row>
    <x:row r="51">
      <x:c r="A51" s="4" t="inlineStr">
        <x:is>
          <x:t xml:space="preserve">Gemini 2.0 Flash Lite</x:t>
        </x:is>
      </x:c>
      <x:c r="B51" s="5" t="inlineStr">
        <x:is>
          <x:t xml:space="preserve">Google</x:t>
        </x:is>
      </x:c>
      <x:c r="C51" s="6" t="n">
        <x:v>0.06</x:v>
      </x:c>
      <x:c r="D51" s="6" t="n">
        <x:v>0.18</x:v>
      </x:c>
      <x:c r="E51" s="7">
        <x:f>C51*1000/$B$1</x:f>
      </x:c>
      <x:c r="F51" s="7">
        <x:f>D51*1000/$B$1</x:f>
      </x:c>
      <x:c r="G51" s="7" t="inlineStr">
        <x:is>
          <x:t xml:space="preserve"/>
        </x:is>
      </x:c>
      <x:c r="H51" s="7" t="inlineStr">
        <x:is>
          <x:t xml:space="preserve"/>
        </x:is>
      </x:c>
      <x:c r="I51" s="6" t="inlineStr">
        <x:is>
          <x:t xml:space="preserve"/>
        </x:is>
      </x:c>
      <x:c r="J51" s="6" t="inlineStr">
        <x:is>
          <x:t xml:space="preserve"/>
        </x:is>
      </x:c>
      <x:c r="K51" s="7" t="inlineStr">
        <x:is>
          <x:t xml:space="preserve"/>
        </x:is>
      </x:c>
      <x:c r="L51" s="7" t="inlineStr">
        <x:is>
          <x:t xml:space="preserve"/>
        </x:is>
      </x:c>
      <x:c r="M51" s="8" t="inlineStr">
        <x:is>
          <x:t xml:space="preserve"/>
        </x:is>
      </x:c>
      <x:c r="N51" s="8" t="inlineStr">
        <x:is>
          <x:t xml:space="preserve"/>
        </x:is>
      </x:c>
      <x:c r="O51" s="6" t="inlineStr">
        <x:is>
          <x:t xml:space="preserve"/>
        </x:is>
      </x:c>
      <x:c r="P51" s="6" t="inlineStr">
        <x:is>
          <x:t xml:space="preserve"/>
        </x:is>
      </x:c>
      <x:c r="Q51" s="8" t="inlineStr">
        <x:is>
          <x:t xml:space="preserve"/>
        </x:is>
      </x:c>
      <x:c r="R51" s="8" t="inlineStr">
        <x:is>
          <x:t xml:space="preserve"/>
        </x:is>
      </x:c>
      <x:c r="S51" s="4" t="inlineStr">
        <x:is>
          <x:t xml:space="preserve">https://ai.google.dev/gemini-api/docs/pricing</x:t>
        </x:is>
      </x:c>
    </x:row>
    <x:row r="52">
      <x:c r="A52" s="4" t="inlineStr">
        <x:is>
          <x:t xml:space="preserve">DeepSeek-V3</x:t>
        </x:is>
      </x:c>
      <x:c r="B52" s="5" t="inlineStr">
        <x:is>
          <x:t xml:space="preserve">DeepSeek</x:t>
        </x:is>
      </x:c>
      <x:c r="C52" s="6" t="n">
        <x:v>0.14</x:v>
      </x:c>
      <x:c r="D52" s="6" t="n">
        <x:v>0.28</x:v>
      </x:c>
      <x:c r="E52" s="7">
        <x:f>C52*1000/$B$1</x:f>
      </x:c>
      <x:c r="F52" s="7">
        <x:f>D52*1000/$B$1</x:f>
      </x:c>
      <x:c r="G52" s="7" t="n">
        <x:v>0.14</x:v>
      </x:c>
      <x:c r="H52" s="7" t="n">
        <x:v>0.28</x:v>
      </x:c>
      <x:c r="I52" s="6">
        <x:f>G52*$B$1/1000</x:f>
      </x:c>
      <x:c r="J52" s="6">
        <x:f>H52*$B$1/1000</x:f>
      </x:c>
      <x:c r="K52" s="7">
        <x:f>IFERROR(E52/G52,"")</x:f>
      </x:c>
      <x:c r="L52" s="7">
        <x:f>IFERROR(F52/H52,"")</x:f>
      </x:c>
      <x:c r="M52" s="8">
        <x:f>IF(K52="","",(K52-1))</x:f>
      </x:c>
      <x:c r="N52" s="8">
        <x:f>IF(L52="","",(L52-1))</x:f>
      </x:c>
      <x:c r="O52" s="6">
        <x:f>IF(I52="","",I52*$B$2)</x:f>
      </x:c>
      <x:c r="P52" s="6">
        <x:f>IF(J52="","",J52*$B$3)</x:f>
      </x:c>
      <x:c r="Q52" s="8">
        <x:f>IF(O52="","",(O52/C52-1))</x:f>
      </x:c>
      <x:c r="R52" s="8">
        <x:f>IF(P52="","",(P52/D52-1))</x:f>
      </x:c>
      <x:c r="S52" s="4" t="inlineStr">
        <x:is>
          <x:t xml:space="preserve">https://api-docs.deepseek.com/quick_start/pricing</x:t>
        </x:is>
      </x:c>
    </x:row>
    <x:row r="53">
      <x:c r="A53" s="4" t="inlineStr">
        <x:is>
          <x:t xml:space="preserve">DeepSeek R1</x:t>
        </x:is>
      </x:c>
      <x:c r="B53" s="5" t="inlineStr">
        <x:is>
          <x:t xml:space="preserve">DeepSeek</x:t>
        </x:is>
      </x:c>
      <x:c r="C53" s="6" t="n">
        <x:v>3.2</x:v>
      </x:c>
      <x:c r="D53" s="6" t="n">
        <x:v>4.8</x:v>
      </x:c>
      <x:c r="E53" s="7">
        <x:f>C53*1000/$B$1</x:f>
      </x:c>
      <x:c r="F53" s="7">
        <x:f>D53*1000/$B$1</x:f>
      </x:c>
      <x:c r="G53" s="7" t="n">
        <x:v>0.55</x:v>
      </x:c>
      <x:c r="H53" s="7" t="n">
        <x:v>2.19</x:v>
      </x:c>
      <x:c r="I53" s="6">
        <x:f>G53*$B$1/1000</x:f>
      </x:c>
      <x:c r="J53" s="6">
        <x:f>H53*$B$1/1000</x:f>
      </x:c>
      <x:c r="K53" s="7">
        <x:f>IFERROR(E53/G53,"")</x:f>
      </x:c>
      <x:c r="L53" s="7">
        <x:f>IFERROR(F53/H53,"")</x:f>
      </x:c>
      <x:c r="M53" s="8">
        <x:f>IF(K53="","",(K53-1))</x:f>
      </x:c>
      <x:c r="N53" s="8">
        <x:f>IF(L53="","",(L53-1))</x:f>
      </x:c>
      <x:c r="O53" s="6">
        <x:f>IF(I53="","",I53*$B$2)</x:f>
      </x:c>
      <x:c r="P53" s="6">
        <x:f>IF(J53="","",J53*$B$3)</x:f>
      </x:c>
      <x:c r="Q53" s="8">
        <x:f>IF(O53="","",(O53/C53-1))</x:f>
      </x:c>
      <x:c r="R53" s="8">
        <x:f>IF(P53="","",(P53/D53-1))</x:f>
      </x:c>
      <x:c r="S53" s="4" t="inlineStr">
        <x:is>
          <x:t xml:space="preserve">https://api-docs.deepseek.com/quick_start/pricing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24" customWidth="1"/>
    <x:col min="3" max="3" width="16" customWidth="1"/>
    <x:col min="4" max="4" width="16" customWidth="1"/>
    <x:col min="5" max="5" width="20" customWidth="1"/>
    <x:col min="6" max="6" width="20" customWidth="1"/>
  </x:cols>
  <x:sheetData>
    <x:row r="1">
      <x:c r="A1" s="9" t="inlineStr">
        <x:is>
          <x:t xml:space="preserve">Provider</x:t>
        </x:is>
      </x:c>
      <x:c r="B1" s="9" t="inlineStr">
        <x:is>
          <x:t xml:space="preserve">Models with official price</x:t>
        </x:is>
      </x:c>
      <x:c r="C1" s="9" t="inlineStr">
        <x:is>
          <x:t xml:space="preserve">Median coeff IN</x:t>
        </x:is>
      </x:c>
      <x:c r="D1" s="9" t="inlineStr">
        <x:is>
          <x:t xml:space="preserve">Median coeff OUT</x:t>
        </x:is>
      </x:c>
      <x:c r="E1" s="9" t="inlineStr">
        <x:is>
          <x:t xml:space="preserve">Median gross margin IN</x:t>
        </x:is>
      </x:c>
      <x:c r="F1" s="9" t="inlineStr">
        <x:is>
          <x:t xml:space="preserve">Median gross margin OUT</x:t>
        </x:is>
      </x:c>
    </x:row>
    <x:row r="2">
      <x:c r="A2" s="10" t="inlineStr">
        <x:is>
          <x:t xml:space="preserve">Anthropic</x:t>
        </x:is>
      </x:c>
      <x:c r="B2" s="11" t="n">
        <x:v>6</x:v>
      </x:c>
      <x:c r="C2" s="7" t="n">
        <x:v>3</x:v>
      </x:c>
      <x:c r="D2" s="7" t="n">
        <x:v>3</x:v>
      </x:c>
      <x:c r="E2" s="8" t="n">
        <x:v>0.6666666666666666</x:v>
      </x:c>
      <x:c r="F2" s="8" t="n">
        <x:v>0.6666666666666666</x:v>
      </x:c>
    </x:row>
    <x:row r="3">
      <x:c r="A3" s="10" t="inlineStr">
        <x:is>
          <x:t xml:space="preserve">Cohere</x:t>
        </x:is>
      </x:c>
      <x:c r="B3" s="11" t="n">
        <x:v>2</x:v>
      </x:c>
      <x:c r="C3" s="7" t="n">
        <x:v>3.9</x:v>
      </x:c>
      <x:c r="D3" s="7" t="n">
        <x:v>4.2</x:v>
      </x:c>
      <x:c r="E3" s="8" t="n">
        <x:v>0.7435897435897436</x:v>
      </x:c>
      <x:c r="F3" s="8" t="n">
        <x:v>0.7619047619047619</x:v>
      </x:c>
    </x:row>
    <x:row r="4">
      <x:c r="A4" s="10" t="inlineStr">
        <x:is>
          <x:t xml:space="preserve">DeepSeek</x:t>
        </x:is>
      </x:c>
      <x:c r="B4" s="11" t="n">
        <x:v>2</x:v>
      </x:c>
      <x:c r="C4" s="7" t="n">
        <x:v>34.09090909090909</x:v>
      </x:c>
      <x:c r="D4" s="7" t="n">
        <x:v>15.95890410958904</x:v>
      </x:c>
      <x:c r="E4" s="8" t="n">
        <x:v>0.9706666666666667</x:v>
      </x:c>
      <x:c r="F4" s="8" t="n">
        <x:v>0.9373390557939915</x:v>
      </x:c>
    </x:row>
    <x:row r="5">
      <x:c r="A5" s="10" t="inlineStr">
        <x:is>
          <x:t xml:space="preserve">Google</x:t>
        </x:is>
      </x:c>
      <x:c r="B5" s="11" t="n">
        <x:v>4</x:v>
      </x:c>
      <x:c r="C5" s="7" t="n">
        <x:v>2.4</x:v>
      </x:c>
      <x:c r="D5" s="7" t="n">
        <x:v>1.11</x:v>
      </x:c>
      <x:c r="E5" s="8" t="n">
        <x:v>0.5833333333333334</x:v>
      </x:c>
      <x:c r="F5" s="8" t="n">
        <x:v>0.099099099099099</x:v>
      </x:c>
    </x:row>
    <x:row r="6">
      <x:c r="A6" s="10" t="inlineStr">
        <x:is>
          <x:t xml:space="preserve">Mistral</x:t>
        </x:is>
      </x:c>
      <x:c r="B6" s="11" t="n">
        <x:v>4</x:v>
      </x:c>
      <x:c r="C6" s="7" t="n">
        <x:v>4.5</x:v>
      </x:c>
      <x:c r="D6" s="7" t="n">
        <x:v>4</x:v>
      </x:c>
      <x:c r="E6" s="8" t="n">
        <x:v>0.7777777777777778</x:v>
      </x:c>
      <x:c r="F6" s="8" t="n">
        <x:v>0.75</x:v>
      </x:c>
    </x:row>
    <x:row r="7">
      <x:c r="A7" s="10" t="inlineStr">
        <x:is>
          <x:t xml:space="preserve">OpenAI</x:t>
        </x:is>
      </x:c>
      <x:c r="B7" s="11" t="n">
        <x:v>22</x:v>
      </x:c>
      <x:c r="C7" s="7" t="n">
        <x:v>2.9</x:v>
      </x:c>
      <x:c r="D7" s="7" t="n">
        <x:v>2.954545454545454</x:v>
      </x:c>
      <x:c r="E7" s="8" t="n">
        <x:v>0.6551724137931034</x:v>
      </x:c>
      <x:c r="F7" s="8" t="n">
        <x:v>0.6615384615384615</x:v>
      </x:c>
    </x:row>
    <x:row r="8">
      <x:c r="A8" s="10" t="inlineStr">
        <x:is>
          <x:t xml:space="preserve">Perplexity</x:t>
        </x:is>
      </x:c>
      <x:c r="B8" s="11" t="n">
        <x:v>2</x:v>
      </x:c>
      <x:c r="C8" s="7" t="n">
        <x:v>3</x:v>
      </x:c>
      <x:c r="D8" s="7" t="n">
        <x:v>3.1875</x:v>
      </x:c>
      <x:c r="E8" s="8" t="n">
        <x:v>0.6666666666666666</x:v>
      </x:c>
      <x:c r="F8" s="8" t="n">
        <x:v>0.6862745098039216</x:v>
      </x:c>
    </x:row>
    <x:row r="9">
      <x:c r="A9" s="10" t="inlineStr">
        <x:is>
          <x:t xml:space="preserve">xAI</x:t>
        </x:is>
      </x:c>
      <x:c r="B9" s="11" t="n">
        <x:v>3</x:v>
      </x:c>
      <x:c r="C9" s="7" t="n">
        <x:v>3</x:v>
      </x:c>
      <x:c r="D9" s="7" t="n">
        <x:v>3</x:v>
      </x:c>
      <x:c r="E9" s="8" t="n">
        <x:v>0.6666666666666666</x:v>
      </x:c>
      <x:c r="F9" s="8" t="n">
        <x:v>0.6666666666666666</x:v>
      </x:c>
    </x:row>
  </x:sheetData>
  <x:pageMargins left="0.7" right="0.7" top="0.75" bottom="0.75" header="0.3" footer="0.3"/>
</x:worksheet>
</file>